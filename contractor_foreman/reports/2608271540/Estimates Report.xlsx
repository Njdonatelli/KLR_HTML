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<sst xmlns="http://schemas.openxmlformats.org/spreadsheetml/2006/main" count="510" uniqueCount="510">
  <si>
    <t>Estimates Report</t>
  </si>
  <si>
    <t>Created On: 08/27/2026, 01:14:37 PM</t>
  </si>
  <si>
    <t>Estimate Date: Lifetime</t>
  </si>
  <si>
    <t>EST. #</t>
  </si>
  <si>
    <t>Date Added</t>
  </si>
  <si>
    <t>Date Modified</t>
  </si>
  <si>
    <t>Title</t>
  </si>
  <si>
    <t>Status</t>
  </si>
  <si>
    <t>Lead/Customer</t>
  </si>
  <si>
    <t>Sales Rep.</t>
  </si>
  <si>
    <t>Opportunity/Project</t>
  </si>
  <si>
    <t>Project Type</t>
  </si>
  <si>
    <t>Total $</t>
  </si>
  <si>
    <t>Created By</t>
  </si>
  <si>
    <t>Estimate Date</t>
  </si>
  <si>
    <t>Estimator</t>
  </si>
  <si>
    <t>Expiration Date</t>
  </si>
  <si>
    <t>File 1</t>
  </si>
  <si>
    <t>File 2</t>
  </si>
  <si>
    <t>File 3</t>
  </si>
  <si>
    <t>Invoiced to</t>
  </si>
  <si>
    <t>Notes</t>
  </si>
  <si>
    <t>Project Manager</t>
  </si>
  <si>
    <t>Record Status</t>
  </si>
  <si>
    <t>Safety Contact</t>
  </si>
  <si>
    <t>Scope of Work</t>
  </si>
  <si>
    <t>Site Manager</t>
  </si>
  <si>
    <t>Tax ID #</t>
  </si>
  <si>
    <t>12/31/2025 10:48 PM</t>
  </si>
  <si>
    <t>08/26/2026 04:40 PM</t>
  </si>
  <si>
    <t>Sales Template</t>
  </si>
  <si>
    <t>Estimating</t>
  </si>
  <si>
    <t>Laurie and Sally Carchidi</t>
  </si>
  <si>
    <t>Coty Reynolds</t>
  </si>
  <si>
    <t>12/31/2025</t>
  </si>
  <si>
    <t>Active</t>
  </si>
  <si>
    <t>Oceanside, Ca Tax Rate</t>
  </si>
  <si>
    <t>01/01/2026 01:43 AM</t>
  </si>
  <si>
    <t>01/03/2026 03:30 PM</t>
  </si>
  <si>
    <t>North River Oceanside</t>
  </si>
  <si>
    <t>Pending Approval</t>
  </si>
  <si>
    <t>Yannis &amp; Rania Apostolopoulos</t>
  </si>
  <si>
    <t>Angel Arias</t>
  </si>
  <si>
    <t>01/01/2026</t>
  </si>
  <si>
    <t>01/02/2026 10:37 AM</t>
  </si>
  <si>
    <t>02/08/2026 07:17 PM</t>
  </si>
  <si>
    <t>Cal west Fire Mountain - Zdravecky</t>
  </si>
  <si>
    <t>Completed</t>
  </si>
  <si>
    <t>Rebecca and George Zdravecky</t>
  </si>
  <si>
    <t>1752 Whaley Cal west Fire Mountain</t>
  </si>
  <si>
    <t>01/02/2026</t>
  </si>
  <si>
    <t>01/05/2026 09:07 PM</t>
  </si>
  <si>
    <t>06/09/2026 09:07 AM</t>
  </si>
  <si>
    <t>North River Farms</t>
  </si>
  <si>
    <t>Jimmy &amp; Tonya -</t>
  </si>
  <si>
    <t>01/05/2026</t>
  </si>
  <si>
    <t>01/07/2026 02:26 AM</t>
  </si>
  <si>
    <t>01/09/2026 10:23 PM</t>
  </si>
  <si>
    <t>Wolhford Estates Escondido</t>
  </si>
  <si>
    <t>Mr. &amp; Mrs. Malik</t>
  </si>
  <si>
    <t>01/07/2026</t>
  </si>
  <si>
    <t>01/12/2026 12:14 PM</t>
  </si>
  <si>
    <t>03/13/2026 04:51 PM</t>
  </si>
  <si>
    <t>Lennar North River Farms</t>
  </si>
  <si>
    <t>Chris and Debbie Carchidi</t>
  </si>
  <si>
    <t>5523 Arlow Lennar North River Farms</t>
  </si>
  <si>
    <t>01/12/2026</t>
  </si>
  <si>
    <t>01/25/2026 11:02 PM</t>
  </si>
  <si>
    <t>01/28/2026 11:51 AM</t>
  </si>
  <si>
    <t>Roxanne Dillion</t>
  </si>
  <si>
    <t>01/25/2026</t>
  </si>
  <si>
    <t>01/25/2026 11:22 PM</t>
  </si>
  <si>
    <t>03/18/2026 02:49 PM</t>
  </si>
  <si>
    <t>Steve &amp; Mary Vandenberg</t>
  </si>
  <si>
    <t>01/28/2026 02:19 PM</t>
  </si>
  <si>
    <t>02/18/2026 09:14 AM</t>
  </si>
  <si>
    <t>Ben &amp; Becky Rigaud</t>
  </si>
  <si>
    <t>108 Arlow</t>
  </si>
  <si>
    <t>01/28/2026</t>
  </si>
  <si>
    <t>02/08/2026 06:14 PM</t>
  </si>
  <si>
    <t>North River Farms Clingan</t>
  </si>
  <si>
    <t>Approved</t>
  </si>
  <si>
    <t>Randy and Tami Clingan</t>
  </si>
  <si>
    <t>02/08/2026</t>
  </si>
  <si>
    <t>02/13/2026 11:19 AM</t>
  </si>
  <si>
    <t>02/13/2026 07:34 PM</t>
  </si>
  <si>
    <t>129 Dori Way</t>
  </si>
  <si>
    <t>Kyle &amp; Meredith Hoganson</t>
  </si>
  <si>
    <t>02/13/2026</t>
  </si>
  <si>
    <t>02/17/2026 02:36 PM</t>
  </si>
  <si>
    <t>02/17/2026 02:47 PM</t>
  </si>
  <si>
    <t>5564 Alethea Way</t>
  </si>
  <si>
    <t>02/17/2026</t>
  </si>
  <si>
    <t>02/17/2026 07:16 PM</t>
  </si>
  <si>
    <t>02/17/2026 08:29 PM</t>
  </si>
  <si>
    <t>Phase One</t>
  </si>
  <si>
    <t>02/20/2026 06:52 PM</t>
  </si>
  <si>
    <t>07/30/2026 02:12 PM</t>
  </si>
  <si>
    <t>Custom Fountain Remodel</t>
  </si>
  <si>
    <t>Brinna Montgomery</t>
  </si>
  <si>
    <t>Fred Anguiano</t>
  </si>
  <si>
    <t>Residential</t>
  </si>
  <si>
    <t>02/20/2026</t>
  </si>
  <si>
    <t>03/30/2026</t>
  </si>
  <si>
    <t xml:space="preserve">Owner provided conceptual plan
</t>
  </si>
  <si>
    <t>02/23/2026 11:42 PM</t>
  </si>
  <si>
    <t>02/24/2026 09:38 AM</t>
  </si>
  <si>
    <t>COMMERCIAL SALE TEMPLATE</t>
  </si>
  <si>
    <t>Template</t>
  </si>
  <si>
    <t>02/24/2026</t>
  </si>
  <si>
    <t>02/24/2026 10:01 AM</t>
  </si>
  <si>
    <t>02/25/2026 11:52 AM</t>
  </si>
  <si>
    <t>Rancho Mission Viejo Riding Park</t>
  </si>
  <si>
    <t>Lost</t>
  </si>
  <si>
    <t>Christopher Wilson (Equine Network LLC)</t>
  </si>
  <si>
    <t>Commercial</t>
  </si>
  <si>
    <t>03/28/2026</t>
  </si>
  <si>
    <t>02/27/2026 07:58 PM</t>
  </si>
  <si>
    <t>02/27/2026 11:18 PM</t>
  </si>
  <si>
    <t>104 Takamasa Way</t>
  </si>
  <si>
    <t>Ira &amp; Deborah Gabriel</t>
  </si>
  <si>
    <t>02/27/2026</t>
  </si>
  <si>
    <t>03/02/2026 07:55 PM</t>
  </si>
  <si>
    <t>03/02/2026 08:24 PM</t>
  </si>
  <si>
    <t>West Oaks Way</t>
  </si>
  <si>
    <t>Greystar, Mike Hayes</t>
  </si>
  <si>
    <t>03/02/2026</t>
  </si>
  <si>
    <t>03/03/2026 12:23 PM</t>
  </si>
  <si>
    <t>04/15/2026 07:49 PM</t>
  </si>
  <si>
    <t>Referral Program</t>
  </si>
  <si>
    <t>Sean &amp; Carol Cincotta</t>
  </si>
  <si>
    <t>1279 Browing Referral Program</t>
  </si>
  <si>
    <t>03/03/2026</t>
  </si>
  <si>
    <t>04/03/2026</t>
  </si>
  <si>
    <t xml:space="preserve">Paid Terra Stone $7,000 3/10
Coronado Turf from Heritage
</t>
  </si>
  <si>
    <t>03/04/2026 09:53 AM</t>
  </si>
  <si>
    <t>03/09/2026 10:57 AM</t>
  </si>
  <si>
    <t>Open Beam Awning Marketing</t>
  </si>
  <si>
    <t>Eugene Adam</t>
  </si>
  <si>
    <t>03/04/2026</t>
  </si>
  <si>
    <t>04/04/2026</t>
  </si>
  <si>
    <t>03/04/2026 11:21 AM</t>
  </si>
  <si>
    <t>Landscape Remodel</t>
  </si>
  <si>
    <t>03/05/2026 09:31 AM</t>
  </si>
  <si>
    <t>03/21/2026 10:23 AM</t>
  </si>
  <si>
    <t>Revision 1</t>
  </si>
  <si>
    <t>03/05/2026</t>
  </si>
  <si>
    <t>04/05/2026</t>
  </si>
  <si>
    <t>03/09/2026 07:10 AM</t>
  </si>
  <si>
    <t>07/30/2026 07:44 AM</t>
  </si>
  <si>
    <t>102 Arlow Way Rev 1</t>
  </si>
  <si>
    <t>03/09/2026</t>
  </si>
  <si>
    <t>04/09/2026</t>
  </si>
  <si>
    <t>03/09/2026 09:55 AM</t>
  </si>
  <si>
    <t>04/04/2026 08:15 PM</t>
  </si>
  <si>
    <t>Dana Point Patio Cover</t>
  </si>
  <si>
    <t>Tareq Sayegh</t>
  </si>
  <si>
    <t>03/10/2026 10:26 AM</t>
  </si>
  <si>
    <t>04/15/2026 07:56 PM</t>
  </si>
  <si>
    <t>Rev with new balance</t>
  </si>
  <si>
    <t>03/10/2026</t>
  </si>
  <si>
    <t>03/11/2026 07:05 PM</t>
  </si>
  <si>
    <t>03/11/2026 10:18 PM</t>
  </si>
  <si>
    <t>Crowder Residence Remodel</t>
  </si>
  <si>
    <t>Brett &amp; Erin Crowder</t>
  </si>
  <si>
    <t>03/11/2026</t>
  </si>
  <si>
    <t>04/11/2026</t>
  </si>
  <si>
    <t>03/16/2026 08:54 AM</t>
  </si>
  <si>
    <t>06/22/2026 08:51 AM</t>
  </si>
  <si>
    <t>Yannis</t>
  </si>
  <si>
    <t>102 Arlow Yannis</t>
  </si>
  <si>
    <t>03/16/2026</t>
  </si>
  <si>
    <t>03/23/2026 05:52 PM</t>
  </si>
  <si>
    <t>07/21/2026 11:08 AM</t>
  </si>
  <si>
    <t>Besio Residence Phase 1</t>
  </si>
  <si>
    <t>Wendy and Jeff Besio</t>
  </si>
  <si>
    <t>7143 Almaden Besio Residence Phase 1</t>
  </si>
  <si>
    <t>03/23/2026</t>
  </si>
  <si>
    <t>04/23/2026</t>
  </si>
  <si>
    <t xml:space="preserve">Wants to make field 60’ in length now vs 50’ split cost @ $5,000.00
Total was $10k
</t>
  </si>
  <si>
    <t>03/25/2026 11:15 AM</t>
  </si>
  <si>
    <t>03/25/2026 12:09 PM</t>
  </si>
  <si>
    <t>Irrigation Repair</t>
  </si>
  <si>
    <t>Sam P</t>
  </si>
  <si>
    <t>03/25/2026</t>
  </si>
  <si>
    <t>03/25/2026 12:10 PM</t>
  </si>
  <si>
    <t>04/29/2026 10:18 AM</t>
  </si>
  <si>
    <t>Copy of #1014</t>
  </si>
  <si>
    <t>03/27/2026 02:34 PM</t>
  </si>
  <si>
    <t>04/18/2026 06:55 AM</t>
  </si>
  <si>
    <t>101 Giovanni Way</t>
  </si>
  <si>
    <t>Lance &amp; Laura Unkovich</t>
  </si>
  <si>
    <t>03/27/2026</t>
  </si>
  <si>
    <t>05/18/2026</t>
  </si>
  <si>
    <t>04/06/2026 03:43 PM</t>
  </si>
  <si>
    <t>04/06/2026 04:05 PM</t>
  </si>
  <si>
    <t>107 Arlow Way</t>
  </si>
  <si>
    <t>Tien Le</t>
  </si>
  <si>
    <t>Summer Skye Skinner</t>
  </si>
  <si>
    <t>04/06/2026</t>
  </si>
  <si>
    <t xml:space="preserve">Front + underground + outlet
Pavers
Base
15 (5s)
20 (1s)
4 yards mulch
2 yards gravel
Irrigation
Clock
Drains
Outlet 
Edging 80ft
$17,716.00
</t>
  </si>
  <si>
    <t>04/10/2026 01:51 PM</t>
  </si>
  <si>
    <t>04/10/2026 02:10 PM</t>
  </si>
  <si>
    <t>Rev 1 Plan</t>
  </si>
  <si>
    <t>04/10/2026</t>
  </si>
  <si>
    <t>05/11/2026</t>
  </si>
  <si>
    <t>04/10/2026 02:35 PM</t>
  </si>
  <si>
    <t>04/10/2026 02:37 PM</t>
  </si>
  <si>
    <t>Rev 2</t>
  </si>
  <si>
    <t>04/15/2026 01:03 PM</t>
  </si>
  <si>
    <t>08/03/2026 12:57 PM</t>
  </si>
  <si>
    <t>104 Metz Way</t>
  </si>
  <si>
    <t>Alexandria &amp; Charles Hawthorne</t>
  </si>
  <si>
    <t>04/15/2026</t>
  </si>
  <si>
    <t>05/16/2026</t>
  </si>
  <si>
    <t xml:space="preserve">Add $804 if we do 16’ @ gate
</t>
  </si>
  <si>
    <t>04/17/2026 09:20 AM</t>
  </si>
  <si>
    <t>05/05/2026 07:02 PM</t>
  </si>
  <si>
    <t>283 Paxton Way</t>
  </si>
  <si>
    <t>Ryan Colton</t>
  </si>
  <si>
    <t>04/17/2026</t>
  </si>
  <si>
    <t>05/28/2026</t>
  </si>
  <si>
    <t>04/18/2026 01:38 AM</t>
  </si>
  <si>
    <t>06/24/2026 01:30 PM</t>
  </si>
  <si>
    <t>Cost effective modifications</t>
  </si>
  <si>
    <t>Suraj Kamarapu</t>
  </si>
  <si>
    <t>104 Arlow zDuplicate_1069</t>
  </si>
  <si>
    <t>04/18/2026</t>
  </si>
  <si>
    <t>Archived</t>
  </si>
  <si>
    <t>04/20/2026 12:04 PM</t>
  </si>
  <si>
    <t>04/20/2026 12:06 PM</t>
  </si>
  <si>
    <t>114 Mellano Way, Oceanside CA 92057</t>
  </si>
  <si>
    <t>Samir Chau</t>
  </si>
  <si>
    <t>04/20/2026</t>
  </si>
  <si>
    <t>04/24/2026 11:09 AM</t>
  </si>
  <si>
    <t>05/16/2026 08:28 AM</t>
  </si>
  <si>
    <t>Front Entry</t>
  </si>
  <si>
    <t>04/24/2026</t>
  </si>
  <si>
    <t>04/25/2026 04:44 PM</t>
  </si>
  <si>
    <t>08/22/2026 09:45 AM</t>
  </si>
  <si>
    <t>131 Mellano Way</t>
  </si>
  <si>
    <t>Adam &amp; Leah Pollard</t>
  </si>
  <si>
    <t>04/25/2026</t>
  </si>
  <si>
    <t>05/26/2026</t>
  </si>
  <si>
    <t>04/28/2026 12:41 PM</t>
  </si>
  <si>
    <t>04/28/2026 01:27 PM</t>
  </si>
  <si>
    <t>Copy of #1015</t>
  </si>
  <si>
    <t>04/28/2026</t>
  </si>
  <si>
    <t>04/29/2026 10:19 AM</t>
  </si>
  <si>
    <t>05/08/2026 06:09 PM</t>
  </si>
  <si>
    <t>Shared Wall Project</t>
  </si>
  <si>
    <t>04/29/2026</t>
  </si>
  <si>
    <t>04/29/2026 10:29 AM</t>
  </si>
  <si>
    <t>05/10/2026 02:54 PM</t>
  </si>
  <si>
    <t>Julie Burton</t>
  </si>
  <si>
    <t>05/30/2026</t>
  </si>
  <si>
    <t>05/06/2026 11:38 AM</t>
  </si>
  <si>
    <t>05/27/2026 10:27 AM</t>
  </si>
  <si>
    <t>116 Arlow Way</t>
  </si>
  <si>
    <t>Josh Panas</t>
  </si>
  <si>
    <t>05/06/2026</t>
  </si>
  <si>
    <t>06/06/2026</t>
  </si>
  <si>
    <t>05/06/2026 10:22 PM</t>
  </si>
  <si>
    <t>07/30/2026 02:14 PM</t>
  </si>
  <si>
    <t>114 Mellano Way</t>
  </si>
  <si>
    <t>05/14/2026 02:40 PM</t>
  </si>
  <si>
    <t>07/15/2026 01:06 PM</t>
  </si>
  <si>
    <t>2nd Phase</t>
  </si>
  <si>
    <t>05/14/2026</t>
  </si>
  <si>
    <t>06/14/2026</t>
  </si>
  <si>
    <t>05/20/2026 02:15 PM</t>
  </si>
  <si>
    <t>07/15/2026 03:06 PM</t>
  </si>
  <si>
    <t>2372 Terraza Ribera Entry</t>
  </si>
  <si>
    <t>Maryann &amp; Steven White</t>
  </si>
  <si>
    <t>05/20/2026</t>
  </si>
  <si>
    <t>06/20/2026</t>
  </si>
  <si>
    <t>05/21/2026 12:00 PM</t>
  </si>
  <si>
    <t>05/21/2026 06:37 PM</t>
  </si>
  <si>
    <t>Sunroom and Patio Cover</t>
  </si>
  <si>
    <t>Anna Battle</t>
  </si>
  <si>
    <t>05/21/2026</t>
  </si>
  <si>
    <t>06/21/2026</t>
  </si>
  <si>
    <t>05/21/2026 04:58 PM</t>
  </si>
  <si>
    <t>05/21/2026 05:16 PM</t>
  </si>
  <si>
    <t>110 Takamasa Way</t>
  </si>
  <si>
    <t>Jennifer &amp; Githinji Miller</t>
  </si>
  <si>
    <t>07/20/2026 04:40 PM</t>
  </si>
  <si>
    <t>110 Takamasa Jennifer &amp; Githinji Miller</t>
  </si>
  <si>
    <t>05/23/2026 09:24 AM</t>
  </si>
  <si>
    <t>08/06/2026 04:46 PM</t>
  </si>
  <si>
    <t>5528 Giovanni Way</t>
  </si>
  <si>
    <t>Ron Lohmeyer</t>
  </si>
  <si>
    <t>05/23/2026</t>
  </si>
  <si>
    <t>06/23/2026</t>
  </si>
  <si>
    <t>05/23/2026 10:32 AM</t>
  </si>
  <si>
    <t>05/23/2026 11:01 AM</t>
  </si>
  <si>
    <t>Backyard addition</t>
  </si>
  <si>
    <t>05/25/2026 11:43 AM</t>
  </si>
  <si>
    <t>06/20/2026 11:23 PM</t>
  </si>
  <si>
    <t>Restructuring</t>
  </si>
  <si>
    <t>7143 Almaden Besio Restructuring</t>
  </si>
  <si>
    <t>05/25/2026</t>
  </si>
  <si>
    <t>07/20/2026</t>
  </si>
  <si>
    <t>05/26/2026 09:30 AM</t>
  </si>
  <si>
    <t>05/26/2026 08:13 PM</t>
  </si>
  <si>
    <t>104 Mellano</t>
  </si>
  <si>
    <t>Ramone and Jessica (KLR)</t>
  </si>
  <si>
    <t>06/26/2026</t>
  </si>
  <si>
    <t>05/26/2026 08:06 PM</t>
  </si>
  <si>
    <t>05/26/2026 08:09 PM</t>
  </si>
  <si>
    <t>Turf with Walls and fountain</t>
  </si>
  <si>
    <t>05/27/2026 01:52 PM</t>
  </si>
  <si>
    <t>06/17/2026 02:59 PM</t>
  </si>
  <si>
    <t>5517 Arlow Way</t>
  </si>
  <si>
    <t>Ariana and George</t>
  </si>
  <si>
    <t>05/27/2026</t>
  </si>
  <si>
    <t>05/29/2026 02:17 PM</t>
  </si>
  <si>
    <t>05/29/2026 02:56 PM</t>
  </si>
  <si>
    <t>130 Mellano Way</t>
  </si>
  <si>
    <t>Rey Marlise</t>
  </si>
  <si>
    <t>05/29/2026</t>
  </si>
  <si>
    <t>05/29/2026 02:58 PM</t>
  </si>
  <si>
    <t>05/29/2026 09:43 PM</t>
  </si>
  <si>
    <t>Copy of #1043</t>
  </si>
  <si>
    <t>06/12/2026 07:52 PM</t>
  </si>
  <si>
    <t>0 scape Design</t>
  </si>
  <si>
    <t>06/30/2026</t>
  </si>
  <si>
    <t>06/02/2026 12:28 PM</t>
  </si>
  <si>
    <t>06/04/2026 08:17 PM</t>
  </si>
  <si>
    <t>Design Approval</t>
  </si>
  <si>
    <t>104 Metz Alex &amp; Charlie</t>
  </si>
  <si>
    <t>06/02/2026</t>
  </si>
  <si>
    <t>07/04/2026</t>
  </si>
  <si>
    <t>06/03/2026 07:14 PM</t>
  </si>
  <si>
    <t>07/30/2026 04:51 PM</t>
  </si>
  <si>
    <t>114 Takamasa Way</t>
  </si>
  <si>
    <t>Geoffrey Shu</t>
  </si>
  <si>
    <t>114 Takamasa Geofrey</t>
  </si>
  <si>
    <t>06/03/2026</t>
  </si>
  <si>
    <t>06/04/2026 12:06 PM</t>
  </si>
  <si>
    <t>06/13/2026 03:28 PM</t>
  </si>
  <si>
    <t>REV 1</t>
  </si>
  <si>
    <t>06/04/2026</t>
  </si>
  <si>
    <t>07/07/2026</t>
  </si>
  <si>
    <t>06/10/2026 10:21 AM</t>
  </si>
  <si>
    <t>Work completed thus far</t>
  </si>
  <si>
    <t>06/10/2026</t>
  </si>
  <si>
    <t>06/12/2026 09:55 AM</t>
  </si>
  <si>
    <t>06/12/2026 08:40 PM</t>
  </si>
  <si>
    <t>Rev 4</t>
  </si>
  <si>
    <t>06/12/2026</t>
  </si>
  <si>
    <t>06/18/2026 06:11 PM</t>
  </si>
  <si>
    <t>07/08/2026 01:46 PM</t>
  </si>
  <si>
    <t>Optional Plan</t>
  </si>
  <si>
    <t>Kimberly N</t>
  </si>
  <si>
    <t>06/18/2026</t>
  </si>
  <si>
    <t>08/08/2026</t>
  </si>
  <si>
    <t>06/25/2026 12:21 PM</t>
  </si>
  <si>
    <t>06/25/2026 06:49 PM</t>
  </si>
  <si>
    <t>Andy Patio cover</t>
  </si>
  <si>
    <t>Andy N</t>
  </si>
  <si>
    <t>19 Shady Hill Andy Patio cover</t>
  </si>
  <si>
    <t>06/25/2026</t>
  </si>
  <si>
    <t>06/26/2026 04:10 PM</t>
  </si>
  <si>
    <t>06/26/2026 05:06 PM</t>
  </si>
  <si>
    <t>Copy of #1046</t>
  </si>
  <si>
    <t>06/29/2026 10:52 AM</t>
  </si>
  <si>
    <t>07/10/2026 04:19 PM</t>
  </si>
  <si>
    <t>Copy of #1032</t>
  </si>
  <si>
    <t>1716 Forest Ave</t>
  </si>
  <si>
    <t>06/29/2026</t>
  </si>
  <si>
    <t>06/29/2026 10:56 AM</t>
  </si>
  <si>
    <t>07/15/2026 01:11 PM</t>
  </si>
  <si>
    <t>Planting Phase</t>
  </si>
  <si>
    <t>07/03/2026 01:47 PM</t>
  </si>
  <si>
    <t>07/30/2026 04:50 PM</t>
  </si>
  <si>
    <t>John &amp; Grace HSU</t>
  </si>
  <si>
    <t>5589 Hadley</t>
  </si>
  <si>
    <t>07/03/2026</t>
  </si>
  <si>
    <t>08/03/2026</t>
  </si>
  <si>
    <t>07/04/2026 01:52 PM</t>
  </si>
  <si>
    <t>07/06/2026 11:55 AM</t>
  </si>
  <si>
    <t>07/07/2026 01:58 PM</t>
  </si>
  <si>
    <t>Address</t>
  </si>
  <si>
    <t>Jim Miller</t>
  </si>
  <si>
    <t>Nick (New Designer) (Self)</t>
  </si>
  <si>
    <t>07/06/2026</t>
  </si>
  <si>
    <t>07/06/2026 11:58 AM</t>
  </si>
  <si>
    <t>07/06/2026 12:00 PM</t>
  </si>
  <si>
    <t>Name Last name</t>
  </si>
  <si>
    <t>Nick Donatelli</t>
  </si>
  <si>
    <t>07/06/2026 03:20 PM</t>
  </si>
  <si>
    <t>07/06/2026 03:33 PM</t>
  </si>
  <si>
    <t>Copy of #7</t>
  </si>
  <si>
    <t>07/07/2026 08:51 PM</t>
  </si>
  <si>
    <t>07/09/2026 09:12 AM</t>
  </si>
  <si>
    <t>Revision 3</t>
  </si>
  <si>
    <t>5589 Hadley v3</t>
  </si>
  <si>
    <t>08/07/2026</t>
  </si>
  <si>
    <t>07/07/2026 09:43 PM</t>
  </si>
  <si>
    <t>07/20/2026 10:45 AM</t>
  </si>
  <si>
    <t xml:space="preserve">Total of change order is $75,174.60
</t>
  </si>
  <si>
    <t>07/09/2026 11:08 PM</t>
  </si>
  <si>
    <t>07/10/2026 11:38 AM</t>
  </si>
  <si>
    <t>105 Metz Way</t>
  </si>
  <si>
    <t>Angela &amp; Tony DiCristofaro</t>
  </si>
  <si>
    <t>07/09/2026</t>
  </si>
  <si>
    <t>08/10/2026</t>
  </si>
  <si>
    <t>07/11/2026 11:11 PM</t>
  </si>
  <si>
    <t>08/19/2026 01:33 PM</t>
  </si>
  <si>
    <t>110 Metz Way</t>
  </si>
  <si>
    <t>Maurice &amp; Leray Ghosn</t>
  </si>
  <si>
    <t>07/11/2026</t>
  </si>
  <si>
    <t>08/29/2026</t>
  </si>
  <si>
    <t>07/13/2026 10:15 PM</t>
  </si>
  <si>
    <t>07/30/2026 04:49 PM</t>
  </si>
  <si>
    <t>144 Mellano Way Option 1</t>
  </si>
  <si>
    <t>Paul Nivasnan</t>
  </si>
  <si>
    <t>144 Mellano Way</t>
  </si>
  <si>
    <t>07/13/2026</t>
  </si>
  <si>
    <t>08/18/2026</t>
  </si>
  <si>
    <t>07/15/2026 04:34 PM</t>
  </si>
  <si>
    <t>07/15/2026 05:15 PM</t>
  </si>
  <si>
    <t>Copy of #1023</t>
  </si>
  <si>
    <t>104 Arlow Copy of #1023</t>
  </si>
  <si>
    <t>07/15/2026</t>
  </si>
  <si>
    <t>07/17/2026 02:38 AM</t>
  </si>
  <si>
    <t>Option 2 Entry</t>
  </si>
  <si>
    <t>07/17/2026</t>
  </si>
  <si>
    <t>07/21/2026 03:38 PM</t>
  </si>
  <si>
    <t>Copy of #1050 7143 Almaden</t>
  </si>
  <si>
    <t>07/21/2026</t>
  </si>
  <si>
    <t>07/21/2026 08:33 PM</t>
  </si>
  <si>
    <t>07/21/2026 08:59 PM</t>
  </si>
  <si>
    <t>2820 Louise Street</t>
  </si>
  <si>
    <t>James NA</t>
  </si>
  <si>
    <t>08/21/2026</t>
  </si>
  <si>
    <t>07/21/2026 09:07 PM</t>
  </si>
  <si>
    <t>274 Paxton Way</t>
  </si>
  <si>
    <t>Elisa Danielson</t>
  </si>
  <si>
    <t>07/27/2026 10:50 AM</t>
  </si>
  <si>
    <t>07/31/2026 12:50 PM</t>
  </si>
  <si>
    <t>Tighe Residence</t>
  </si>
  <si>
    <t>Kevin Tighe</t>
  </si>
  <si>
    <t>07/27/2026</t>
  </si>
  <si>
    <t>08/30/2026</t>
  </si>
  <si>
    <t>07/30/2026 10:07 AM</t>
  </si>
  <si>
    <t>Front pad with 12x10 back pad</t>
  </si>
  <si>
    <t>07/30/2026</t>
  </si>
  <si>
    <t>07/30/2026 10:24 AM</t>
  </si>
  <si>
    <t>07/30/2026 01:59 PM</t>
  </si>
  <si>
    <t>Real Grass Option w/ 12x10 grass</t>
  </si>
  <si>
    <t>07/31/2026 06:09 PM</t>
  </si>
  <si>
    <t>08/01/2026 07:56 PM</t>
  </si>
  <si>
    <t>754 Kingbird loop</t>
  </si>
  <si>
    <t>Julie Haley</t>
  </si>
  <si>
    <t>07/31/2026</t>
  </si>
  <si>
    <t>08/31/2026</t>
  </si>
  <si>
    <t>07/31/2026 07:09 PM</t>
  </si>
  <si>
    <t>07/31/2026 07:49 PM</t>
  </si>
  <si>
    <t>132 Mellano Way</t>
  </si>
  <si>
    <t>Nikhil and Nita Namala</t>
  </si>
  <si>
    <t>08/04/2026 10:38 PM</t>
  </si>
  <si>
    <t>08/08/2026 07:21 PM</t>
  </si>
  <si>
    <t>Copy of #1074</t>
  </si>
  <si>
    <t>08/04/2026</t>
  </si>
  <si>
    <t>09/08/2026</t>
  </si>
  <si>
    <t>08/05/2026 07:33 PM</t>
  </si>
  <si>
    <t>08/20/2026 05:42 PM</t>
  </si>
  <si>
    <t>Copy of #1065</t>
  </si>
  <si>
    <t>08/05/2026</t>
  </si>
  <si>
    <t>08/08/2026 08:56 AM</t>
  </si>
  <si>
    <t>08/08/2026 11:23 AM</t>
  </si>
  <si>
    <t>08/10/2026 08:04 AM</t>
  </si>
  <si>
    <t>08/10/2026 02:12 PM</t>
  </si>
  <si>
    <t>Single Point</t>
  </si>
  <si>
    <t>Mike &amp; Holy Stipe</t>
  </si>
  <si>
    <t>09/10/2026</t>
  </si>
  <si>
    <t>08/13/2026 08:17 PM</t>
  </si>
  <si>
    <t>08/27/2026 11:39 AM</t>
  </si>
  <si>
    <t>5595 Hadley Way</t>
  </si>
  <si>
    <t>Beau &amp; Katie Miller</t>
  </si>
  <si>
    <t>Violet Delain</t>
  </si>
  <si>
    <t>Lead</t>
  </si>
  <si>
    <t>08/13/2026</t>
  </si>
  <si>
    <t>08/17/2026 09:08 PM</t>
  </si>
  <si>
    <t>08/19/2026 01:16 PM</t>
  </si>
  <si>
    <t>111 Metz Way</t>
  </si>
  <si>
    <t>Christian Lenzen</t>
  </si>
  <si>
    <t>08/17/2026</t>
  </si>
  <si>
    <t>09/19/2026</t>
  </si>
  <si>
    <t>08/20/2026 01:41 AM</t>
  </si>
  <si>
    <t>08/26/2026 03:49 PM</t>
  </si>
  <si>
    <t>5516 Giovanni Way</t>
  </si>
  <si>
    <t>Abby TBD</t>
  </si>
  <si>
    <t>08/20/2026</t>
  </si>
  <si>
    <t>08/20/2026 03:34 PM</t>
  </si>
  <si>
    <t>08/21/2026 08:45 AM</t>
  </si>
  <si>
    <t>Conley Residence</t>
  </si>
  <si>
    <t>Cade Christensen</t>
  </si>
  <si>
    <t>09/20/2026</t>
  </si>
  <si>
    <t>08/25/2026 11:56 AM</t>
  </si>
  <si>
    <t>08/25/2026 11:59 AM</t>
  </si>
  <si>
    <t>Copy of #1085</t>
  </si>
  <si>
    <t>08/25/2026</t>
  </si>
  <si>
    <t>08/26/2026 07:30 PM</t>
  </si>
  <si>
    <t>08/27/2026 10:39 AM</t>
  </si>
  <si>
    <t>5551 Midori Way</t>
  </si>
  <si>
    <t>Mike and Melissa Branum</t>
  </si>
  <si>
    <t>08/26/2026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</si>
</sst>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7">
    <font>
      <sz val="11"/>
      <color theme="1" rgb="FF000000"/>
      <name val="Calibri"/>
      <family val="2"/>
      <scheme val="minor"/>
    </font>
    <font>
      <sz val="11"/>
      <color rgb="FFFFFFFF"/>
      <name val="Calibri"/>
      <b/>
    </font>
    <font>
      <sz val="18"/>
      <color rgb="FF000000"/>
      <name val="Calibri"/>
      <b/>
    </font>
    <font>
      <sz val="12"/>
      <color rgb="FF000000"/>
      <name val="Calibri"/>
    </font>
    <font>
      <sz val="11"/>
      <color rgb="FF358ccb"/>
      <name val="Calibri"/>
      <u val="single"/>
    </font>
    <font>
      <sz val="11"/>
      <color rgb="FF000000"/>
      <name val="Calibri"/>
      <b/>
    </font>
    <font>
      <sz val="11"/>
      <color rgb="FF358ccb"/>
      <name val="Calibri"/>
      <b/>
      <u val="single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5">
    <xf borderId="0" fillId="0" fontId="0" numFmtId="0" xfId="0"/>
    <xf applyFill="1" borderId="0" fillId="2" applyFont="1" fontId="1" numFmtId="0" xfId="0"/>
    <xf applyAlignment="1" borderId="0" fillId="0" applyFont="1" fontId="2" numFmtId="0" xfId="0">
      <alignment horizontal="right" vertical="center"/>
    </xf>
    <xf applyAlignment="1" borderId="0" fillId="0" applyFont="1" fontId="3" numFmtId="0" xfId="0">
      <alignment horizontal="right" vertical="center"/>
    </xf>
    <xf applyAlignment="1" borderId="0" fillId="0" applyFont="1" fontId="3" numFmtId="0" xfId="0">
      <alignment horizontal="left" vertical="center"/>
    </xf>
    <xf borderId="0" fillId="0" fontId="0" applyNumberFormat="1" numFmtId="4" xfId="0"/>
    <xf borderId="0" fillId="0" applyFont="1" fontId="4" numFmtId="0" xfId="0"/>
    <xf applyAlignment="1" applyFill="1" borderId="0" fillId="3" applyFont="1" fontId="5" numFmtId="0" xfId="0">
      <alignment horizontal="right"/>
    </xf>
    <xf applyFill="1" borderId="0" fillId="2" applyFont="1" fontId="1" numFmtId="0" xfId="0"/>
    <xf applyFill="1" borderId="0" fillId="2" applyFont="1" fontId="1" numFmtId="0" xfId="0"/>
    <xf borderId="0" fillId="0" fontId="0" applyNumberFormat="1" numFmtId="4" xfId="0"/>
    <xf borderId="0" fillId="0" applyFont="1" fontId="4" numFmtId="0" xfId="0"/>
    <xf applyAlignment="1" applyFill="1" borderId="0" fillId="3" applyFont="1" fontId="5" numFmtId="0" xfId="0">
      <alignment horizontal="right"/>
    </xf>
    <xf applyAlignment="1" applyFill="1" borderId="0" fillId="3" applyFont="1" fontId="5" applyNumberFormat="1" numFmtId="4" xfId="0">
      <alignment horizontal="right"/>
    </xf>
    <xf applyAlignment="1" applyFill="1" borderId="0" fillId="3" applyFont="1" fontId="6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17" hidden="0" bestFit="0" customWidth="1"/>
    <col min="4" max="4" width="17" hidden="0" bestFit="0" customWidth="1"/>
    <col min="5" max="5" width="17" hidden="0" bestFit="0" customWidth="1"/>
    <col min="6" max="6" width="17" hidden="0" bestFit="0" customWidth="1"/>
    <col min="7" max="7" width="17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7" hidden="0" bestFit="0" customWidth="1"/>
    <col min="17" max="17" width="17" hidden="0" bestFit="0" customWidth="1"/>
    <col min="18" max="18" width="17" hidden="0" bestFit="0" customWidth="1"/>
    <col min="19" max="19" width="17" hidden="0" bestFit="0" customWidth="1"/>
    <col min="20" max="20" width="17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7" hidden="0" bestFit="0" customWidth="1"/>
    <col min="25" max="25" width="17" hidden="0" bestFit="0" customWidth="1"/>
  </cols>
  <sheetData>
    <row r="1" collapsed="0" hidden="0" customHeight="0" spans="1:1">
</row>
    <row r="2" collapsed="0" hidden="0" customHeight="0" spans="1:1">
      <c r="F2" t="s" s="2">
        <v>0</v>
      </c>
      <c r="G2" s="2"/>
      <c r="H2" s="2"/>
      <c r="I2" s="2"/>
    </row>
    <row r="3" collapsed="0" hidden="0" customHeight="0" spans="1:1">
      <c r="F3" t="s" s="3">
        <v>1</v>
      </c>
      <c r="G3" s="3"/>
      <c r="H3" s="3"/>
      <c r="I3" s="3"/>
    </row>
    <row r="4" collapsed="0" hidden="0" customHeight="0" spans="1:1">
      <c r="A4" t="s" s="4">
        <v>2</v>
      </c>
      <c r="B4" s="4"/>
      <c r="C4" s="4"/>
    </row>
    <row r="5" collapsed="0" hidden="0" customHeight="0" spans="1:1">
</row>
    <row r="6" collapsed="0" hidden="0" customHeight="0" spans="1:1">
      <c r="A6" t="s" s="8">
        <v>3</v>
      </c>
      <c r="B6" t="s" s="8">
        <v>4</v>
      </c>
      <c r="C6" t="s" s="8">
        <v>5</v>
      </c>
      <c r="D6" t="s" s="8">
        <v>6</v>
      </c>
      <c r="E6" t="s" s="8">
        <v>7</v>
      </c>
      <c r="F6" t="s" s="8">
        <v>8</v>
      </c>
      <c r="G6" t="s" s="8">
        <v>9</v>
      </c>
      <c r="H6" t="s" s="8">
        <v>10</v>
      </c>
      <c r="I6" t="s" s="8">
        <v>11</v>
      </c>
      <c r="J6" t="s" s="9">
        <v>12</v>
      </c>
      <c r="K6" t="s" s="8">
        <v>13</v>
      </c>
      <c r="L6" t="s" s="8">
        <v>14</v>
      </c>
      <c r="M6" t="s" s="8">
        <v>15</v>
      </c>
      <c r="N6" t="s" s="8">
        <v>16</v>
      </c>
      <c r="O6" t="s" s="8">
        <v>17</v>
      </c>
      <c r="P6" t="s" s="8">
        <v>18</v>
      </c>
      <c r="Q6" t="s" s="8">
        <v>19</v>
      </c>
      <c r="R6" t="s" s="8">
        <v>20</v>
      </c>
      <c r="S6" t="s" s="8">
        <v>21</v>
      </c>
      <c r="T6" t="s" s="8">
        <v>22</v>
      </c>
      <c r="U6" t="s" s="8">
        <v>23</v>
      </c>
      <c r="V6" t="s" s="8">
        <v>24</v>
      </c>
      <c r="W6" t="s" s="8">
        <v>25</v>
      </c>
      <c r="X6" t="s" s="8">
        <v>26</v>
      </c>
      <c r="Y6" t="s" s="8">
        <v>27</v>
      </c>
    </row>
    <row r="7" collapsed="0" hidden="0" customHeight="0" spans="1:1">
      <c r="A7" t="n">
        <v>5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J7" t="n" s="10">
        <v>0</v>
      </c>
      <c r="K7" t="s">
        <v>33</v>
      </c>
      <c r="L7" t="s">
        <v>34</v>
      </c>
      <c r="O7" t="s" s="11">
        <v/>
      </c>
      <c r="P7" t="s" s="11">
        <v/>
      </c>
      <c r="Q7" t="s" s="11">
        <v/>
      </c>
      <c r="U7" t="s">
        <v>35</v>
      </c>
      <c r="Y7" t="s">
        <v>36</v>
      </c>
    </row>
    <row r="8" collapsed="0" hidden="0" customHeight="0" spans="1:1">
      <c r="A8" t="n">
        <v>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J8" t="n" s="10">
        <v>100380</v>
      </c>
      <c r="K8" t="s">
        <v>33</v>
      </c>
      <c r="L8" t="s">
        <v>43</v>
      </c>
      <c r="M8" t="s">
        <v>42</v>
      </c>
      <c r="O8" t="s" s="11">
        <v/>
      </c>
      <c r="P8" t="s" s="11">
        <v/>
      </c>
      <c r="Q8" t="s" s="11">
        <v/>
      </c>
      <c r="T8" t="s">
        <v>33</v>
      </c>
      <c r="U8" t="s">
        <v>35</v>
      </c>
    </row>
    <row r="9" collapsed="0" hidden="0" customHeight="0" spans="1:1">
      <c r="A9" t="n">
        <v>7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33</v>
      </c>
      <c r="H9" t="s">
        <v>49</v>
      </c>
      <c r="J9" t="n" s="10">
        <v>127453.25</v>
      </c>
      <c r="K9" t="s">
        <v>33</v>
      </c>
      <c r="L9" t="s">
        <v>50</v>
      </c>
      <c r="M9" t="s">
        <v>33</v>
      </c>
      <c r="O9" t="s" s="11">
        <v/>
      </c>
      <c r="P9" t="s" s="11">
        <v/>
      </c>
      <c r="Q9" t="s" s="11">
        <v/>
      </c>
      <c r="T9" t="s">
        <v>33</v>
      </c>
      <c r="U9" t="s">
        <v>35</v>
      </c>
    </row>
    <row r="10" collapsed="0" hidden="0" customHeight="0" spans="1:1">
      <c r="A10" t="n">
        <v>8</v>
      </c>
      <c r="B10" t="s">
        <v>51</v>
      </c>
      <c r="C10" t="s">
        <v>52</v>
      </c>
      <c r="D10" t="s">
        <v>53</v>
      </c>
      <c r="E10" t="s">
        <v>40</v>
      </c>
      <c r="F10" t="s">
        <v>54</v>
      </c>
      <c r="J10" t="n" s="10">
        <v>96993</v>
      </c>
      <c r="K10" t="s">
        <v>33</v>
      </c>
      <c r="L10" t="s">
        <v>55</v>
      </c>
      <c r="M10" t="s">
        <v>33</v>
      </c>
      <c r="O10" t="s" s="11">
        <v/>
      </c>
      <c r="P10" t="s" s="11">
        <v/>
      </c>
      <c r="Q10" t="s" s="11">
        <v/>
      </c>
      <c r="T10" t="s">
        <v>33</v>
      </c>
      <c r="U10" t="s">
        <v>35</v>
      </c>
    </row>
    <row r="11" collapsed="0" hidden="0" customHeight="0" spans="1:1">
      <c r="A11" t="n">
        <v>9</v>
      </c>
      <c r="B11" t="s">
        <v>56</v>
      </c>
      <c r="C11" t="s">
        <v>57</v>
      </c>
      <c r="D11" t="s">
        <v>58</v>
      </c>
      <c r="E11" t="s">
        <v>31</v>
      </c>
      <c r="F11" t="s">
        <v>59</v>
      </c>
      <c r="J11" t="n" s="10">
        <v>117939.75</v>
      </c>
      <c r="K11" t="s">
        <v>33</v>
      </c>
      <c r="L11" t="s">
        <v>60</v>
      </c>
      <c r="M11" t="s">
        <v>33</v>
      </c>
      <c r="O11" t="s" s="11">
        <v/>
      </c>
      <c r="P11" t="s" s="11">
        <v/>
      </c>
      <c r="Q11" t="s" s="11">
        <v/>
      </c>
      <c r="T11" t="s">
        <v>33</v>
      </c>
      <c r="U11" t="s">
        <v>35</v>
      </c>
    </row>
    <row r="12" collapsed="0" hidden="0" customHeight="0" spans="1:1">
      <c r="A12" t="n">
        <v>10</v>
      </c>
      <c r="B12" t="s">
        <v>61</v>
      </c>
      <c r="C12" t="s">
        <v>62</v>
      </c>
      <c r="D12" t="s">
        <v>63</v>
      </c>
      <c r="E12" t="s">
        <v>47</v>
      </c>
      <c r="F12" t="s">
        <v>64</v>
      </c>
      <c r="H12" t="s">
        <v>65</v>
      </c>
      <c r="J12" t="n" s="10">
        <v>49924</v>
      </c>
      <c r="K12" t="s">
        <v>33</v>
      </c>
      <c r="L12" t="s">
        <v>66</v>
      </c>
      <c r="M12" t="s">
        <v>33</v>
      </c>
      <c r="O12" t="s" s="11">
        <v/>
      </c>
      <c r="P12" t="s" s="11">
        <v/>
      </c>
      <c r="Q12" t="s" s="11">
        <v/>
      </c>
      <c r="T12" t="s">
        <v>33</v>
      </c>
      <c r="U12" t="s">
        <v>35</v>
      </c>
    </row>
    <row r="13" collapsed="0" hidden="0" customHeight="0" spans="1:1">
      <c r="A13" t="n">
        <v>11</v>
      </c>
      <c r="B13" t="s">
        <v>67</v>
      </c>
      <c r="C13" t="s">
        <v>68</v>
      </c>
      <c r="D13" t="s">
        <v>53</v>
      </c>
      <c r="E13" t="s">
        <v>40</v>
      </c>
      <c r="F13" t="s">
        <v>69</v>
      </c>
      <c r="J13" t="n" s="10">
        <v>51341.5</v>
      </c>
      <c r="K13" t="s">
        <v>33</v>
      </c>
      <c r="L13" t="s">
        <v>70</v>
      </c>
      <c r="M13" t="s">
        <v>33</v>
      </c>
      <c r="O13" t="s" s="11">
        <v/>
      </c>
      <c r="P13" t="s" s="11">
        <v/>
      </c>
      <c r="Q13" t="s" s="11">
        <v/>
      </c>
      <c r="T13" t="s">
        <v>33</v>
      </c>
      <c r="U13" t="s">
        <v>35</v>
      </c>
    </row>
    <row r="14" collapsed="0" hidden="0" customHeight="0" spans="1:1">
      <c r="A14" t="n">
        <v>12</v>
      </c>
      <c r="B14" t="s">
        <v>71</v>
      </c>
      <c r="C14" t="s">
        <v>72</v>
      </c>
      <c r="D14" t="s">
        <v>53</v>
      </c>
      <c r="E14" t="s">
        <v>40</v>
      </c>
      <c r="F14" t="s">
        <v>73</v>
      </c>
      <c r="J14" t="n" s="10">
        <v>53434.5</v>
      </c>
      <c r="K14" t="s">
        <v>33</v>
      </c>
      <c r="L14" t="s">
        <v>70</v>
      </c>
      <c r="M14" t="s">
        <v>33</v>
      </c>
      <c r="O14" t="s" s="11">
        <v/>
      </c>
      <c r="P14" t="s" s="11">
        <v/>
      </c>
      <c r="Q14" t="s" s="11">
        <v/>
      </c>
      <c r="T14" t="s">
        <v>33</v>
      </c>
      <c r="U14" t="s">
        <v>35</v>
      </c>
    </row>
    <row r="15" collapsed="0" hidden="0" customHeight="0" spans="1:1">
      <c r="A15" t="n">
        <v>13</v>
      </c>
      <c r="B15" t="s">
        <v>74</v>
      </c>
      <c r="C15" t="s">
        <v>75</v>
      </c>
      <c r="D15" t="s">
        <v>53</v>
      </c>
      <c r="E15" t="s">
        <v>47</v>
      </c>
      <c r="F15" t="s">
        <v>76</v>
      </c>
      <c r="H15" t="s">
        <v>77</v>
      </c>
      <c r="J15" t="n" s="10">
        <v>45000</v>
      </c>
      <c r="K15" t="s">
        <v>33</v>
      </c>
      <c r="L15" t="s">
        <v>78</v>
      </c>
      <c r="M15" t="s">
        <v>33</v>
      </c>
      <c r="O15" t="s" s="11">
        <v/>
      </c>
      <c r="P15" t="s" s="11">
        <v/>
      </c>
      <c r="Q15" t="s" s="11">
        <v/>
      </c>
      <c r="T15" t="s">
        <v>33</v>
      </c>
      <c r="U15" t="s">
        <v>35</v>
      </c>
    </row>
    <row r="16" collapsed="0" hidden="0" customHeight="0" spans="1:1">
      <c r="A16" t="n">
        <v>14</v>
      </c>
      <c r="B16" t="s">
        <v>79</v>
      </c>
      <c r="C16" t="s">
        <v>45</v>
      </c>
      <c r="D16" t="s">
        <v>80</v>
      </c>
      <c r="E16" t="s">
        <v>81</v>
      </c>
      <c r="F16" t="s">
        <v>82</v>
      </c>
      <c r="J16" t="n" s="10">
        <v>64306.34</v>
      </c>
      <c r="K16" t="s">
        <v>33</v>
      </c>
      <c r="L16" t="s">
        <v>83</v>
      </c>
      <c r="M16" t="s">
        <v>33</v>
      </c>
      <c r="O16" t="s" s="11">
        <v/>
      </c>
      <c r="P16" t="s" s="11">
        <v/>
      </c>
      <c r="Q16" t="s" s="11">
        <v/>
      </c>
      <c r="T16" t="s">
        <v>33</v>
      </c>
      <c r="U16" t="s">
        <v>35</v>
      </c>
    </row>
    <row r="17" collapsed="0" hidden="0" customHeight="0" spans="1:1">
      <c r="A17" t="n">
        <v>16</v>
      </c>
      <c r="B17" t="s">
        <v>84</v>
      </c>
      <c r="C17" t="s">
        <v>85</v>
      </c>
      <c r="D17" t="s">
        <v>86</v>
      </c>
      <c r="E17" t="s">
        <v>40</v>
      </c>
      <c r="F17" t="s">
        <v>87</v>
      </c>
      <c r="J17" t="n" s="10">
        <v>102854.7</v>
      </c>
      <c r="K17" t="s">
        <v>33</v>
      </c>
      <c r="L17" t="s">
        <v>88</v>
      </c>
      <c r="M17" t="s">
        <v>33</v>
      </c>
      <c r="O17" t="s" s="11">
        <v/>
      </c>
      <c r="P17" t="s" s="11">
        <v/>
      </c>
      <c r="Q17" t="s" s="11">
        <v/>
      </c>
      <c r="T17" t="s">
        <v>33</v>
      </c>
      <c r="U17" t="s">
        <v>35</v>
      </c>
    </row>
    <row r="18" collapsed="0" hidden="0" customHeight="0" spans="1:1">
      <c r="A18" t="n">
        <v>17</v>
      </c>
      <c r="B18" t="s">
        <v>89</v>
      </c>
      <c r="C18" t="s">
        <v>90</v>
      </c>
      <c r="D18" t="s">
        <v>91</v>
      </c>
      <c r="E18" t="s">
        <v>31</v>
      </c>
      <c r="F18" t="s">
        <v>32</v>
      </c>
      <c r="J18" t="n" s="10">
        <v>85541.5</v>
      </c>
      <c r="K18" t="s">
        <v>33</v>
      </c>
      <c r="L18" t="s">
        <v>92</v>
      </c>
      <c r="M18" t="s">
        <v>33</v>
      </c>
      <c r="O18" t="s" s="11">
        <v/>
      </c>
      <c r="P18" t="s" s="11">
        <v/>
      </c>
      <c r="Q18" t="s" s="11">
        <v/>
      </c>
      <c r="T18" t="s">
        <v>33</v>
      </c>
      <c r="U18" t="s">
        <v>35</v>
      </c>
    </row>
    <row r="19" collapsed="0" hidden="0" customHeight="0" spans="1:1">
      <c r="A19" t="n">
        <v>18</v>
      </c>
      <c r="B19" t="s">
        <v>93</v>
      </c>
      <c r="C19" t="s">
        <v>94</v>
      </c>
      <c r="D19" t="s">
        <v>95</v>
      </c>
      <c r="E19" t="s">
        <v>40</v>
      </c>
      <c r="F19" t="s">
        <v>32</v>
      </c>
      <c r="J19" t="n" s="10">
        <v>51328.5</v>
      </c>
      <c r="K19" t="s">
        <v>33</v>
      </c>
      <c r="L19" t="s">
        <v>92</v>
      </c>
      <c r="M19" t="s">
        <v>33</v>
      </c>
      <c r="O19" t="s" s="11">
        <v/>
      </c>
      <c r="P19" t="s" s="11">
        <v/>
      </c>
      <c r="Q19" t="s" s="11">
        <v/>
      </c>
      <c r="T19" t="s">
        <v>33</v>
      </c>
      <c r="U19" t="s">
        <v>35</v>
      </c>
    </row>
    <row r="20" collapsed="0" hidden="0" customHeight="0" spans="1:1">
      <c r="A20" t="n">
        <v>19</v>
      </c>
      <c r="B20" t="s">
        <v>96</v>
      </c>
      <c r="C20" t="s">
        <v>97</v>
      </c>
      <c r="D20" t="s">
        <v>98</v>
      </c>
      <c r="E20" t="s">
        <v>40</v>
      </c>
      <c r="F20" t="s">
        <v>99</v>
      </c>
      <c r="G20" t="s">
        <v>100</v>
      </c>
      <c r="I20" t="s">
        <v>101</v>
      </c>
      <c r="J20" t="n" s="10">
        <v>18000</v>
      </c>
      <c r="K20" t="s">
        <v>33</v>
      </c>
      <c r="L20" t="s">
        <v>102</v>
      </c>
      <c r="M20" t="s">
        <v>33</v>
      </c>
      <c r="N20" t="s">
        <v>103</v>
      </c>
      <c r="O20" t="s" s="11">
        <v/>
      </c>
      <c r="P20" t="s" s="11">
        <v/>
      </c>
      <c r="Q20" t="s" s="11">
        <v/>
      </c>
      <c r="S20" t="s">
        <v>104</v>
      </c>
      <c r="T20" t="s">
        <v>33</v>
      </c>
      <c r="U20" t="s">
        <v>35</v>
      </c>
    </row>
    <row r="21" collapsed="0" hidden="0" customHeight="0" spans="1:1">
      <c r="A21" t="n">
        <v>1000</v>
      </c>
      <c r="B21" t="s">
        <v>105</v>
      </c>
      <c r="C21" t="s">
        <v>106</v>
      </c>
      <c r="D21" t="s">
        <v>107</v>
      </c>
      <c r="E21" t="s">
        <v>108</v>
      </c>
      <c r="G21" t="s">
        <v>33</v>
      </c>
      <c r="J21" t="n" s="10">
        <v>741800</v>
      </c>
      <c r="K21" t="s">
        <v>33</v>
      </c>
      <c r="L21" t="s">
        <v>109</v>
      </c>
      <c r="O21" t="s" s="11">
        <v/>
      </c>
      <c r="P21" t="s" s="11">
        <v/>
      </c>
      <c r="Q21" t="s" s="11">
        <v/>
      </c>
      <c r="U21" t="s">
        <v>35</v>
      </c>
    </row>
    <row r="22" collapsed="0" hidden="0" customHeight="0" spans="1:1">
      <c r="A22" t="n">
        <v>1001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I22" t="s">
        <v>115</v>
      </c>
      <c r="J22" t="n" s="10">
        <v>743300</v>
      </c>
      <c r="K22" t="s">
        <v>33</v>
      </c>
      <c r="L22" t="s">
        <v>109</v>
      </c>
      <c r="M22" t="s">
        <v>33</v>
      </c>
      <c r="N22" t="s">
        <v>116</v>
      </c>
      <c r="O22" t="s" s="11">
        <v/>
      </c>
      <c r="P22" t="s" s="11">
        <v/>
      </c>
      <c r="Q22" t="s" s="11">
        <v/>
      </c>
      <c r="T22" t="s">
        <v>33</v>
      </c>
      <c r="U22" t="s">
        <v>35</v>
      </c>
    </row>
    <row r="23" collapsed="0" hidden="0" customHeight="0" spans="1:1">
      <c r="A23" t="n">
        <v>1002</v>
      </c>
      <c r="B23" t="s">
        <v>117</v>
      </c>
      <c r="C23" t="s">
        <v>118</v>
      </c>
      <c r="D23" t="s">
        <v>119</v>
      </c>
      <c r="E23" t="s">
        <v>113</v>
      </c>
      <c r="F23" t="s">
        <v>120</v>
      </c>
      <c r="J23" t="n" s="10">
        <v>47736.05</v>
      </c>
      <c r="K23" t="s">
        <v>33</v>
      </c>
      <c r="L23" t="s">
        <v>121</v>
      </c>
      <c r="M23" t="s">
        <v>33</v>
      </c>
      <c r="N23" t="s">
        <v>103</v>
      </c>
      <c r="O23" t="s" s="11">
        <v/>
      </c>
      <c r="P23" t="s" s="11">
        <v/>
      </c>
      <c r="Q23" t="s" s="11">
        <v/>
      </c>
      <c r="T23" t="s">
        <v>33</v>
      </c>
      <c r="U23" t="s">
        <v>35</v>
      </c>
    </row>
    <row r="24" collapsed="0" hidden="0" customHeight="0" spans="1:1">
      <c r="A24" t="n">
        <v>1003</v>
      </c>
      <c r="B24" t="s">
        <v>122</v>
      </c>
      <c r="C24" t="s">
        <v>123</v>
      </c>
      <c r="D24" t="s">
        <v>124</v>
      </c>
      <c r="E24" t="s">
        <v>31</v>
      </c>
      <c r="F24" t="s">
        <v>125</v>
      </c>
      <c r="H24" t="s">
        <v>124</v>
      </c>
      <c r="I24" t="s">
        <v>115</v>
      </c>
      <c r="J24" t="n" s="10">
        <v>8460991.98</v>
      </c>
      <c r="K24" t="s">
        <v>33</v>
      </c>
      <c r="L24" t="s">
        <v>126</v>
      </c>
      <c r="M24" t="s">
        <v>33</v>
      </c>
      <c r="O24" t="s" s="11">
        <v/>
      </c>
      <c r="P24" t="s" s="11">
        <v/>
      </c>
      <c r="Q24" t="s" s="11">
        <v/>
      </c>
      <c r="T24" t="s">
        <v>33</v>
      </c>
      <c r="U24" t="s">
        <v>35</v>
      </c>
      <c r="Y24" t="s">
        <v>36</v>
      </c>
    </row>
    <row r="25" collapsed="0" hidden="0" customHeight="0" spans="1:1">
      <c r="A25" t="n">
        <v>1004</v>
      </c>
      <c r="B25" t="s">
        <v>127</v>
      </c>
      <c r="C25" t="s">
        <v>128</v>
      </c>
      <c r="D25" t="s">
        <v>129</v>
      </c>
      <c r="E25" t="s">
        <v>47</v>
      </c>
      <c r="F25" t="s">
        <v>130</v>
      </c>
      <c r="H25" t="s">
        <v>131</v>
      </c>
      <c r="J25" t="n" s="10">
        <v>68683.5</v>
      </c>
      <c r="K25" t="s">
        <v>33</v>
      </c>
      <c r="L25" t="s">
        <v>132</v>
      </c>
      <c r="M25" t="s">
        <v>33</v>
      </c>
      <c r="N25" t="s">
        <v>133</v>
      </c>
      <c r="O25" t="s" s="11">
        <v/>
      </c>
      <c r="P25" t="s" s="11">
        <v/>
      </c>
      <c r="Q25" t="s" s="11">
        <v/>
      </c>
      <c r="S25" t="s">
        <v>134</v>
      </c>
      <c r="T25" t="s">
        <v>33</v>
      </c>
      <c r="U25" t="s">
        <v>35</v>
      </c>
    </row>
    <row r="26" collapsed="0" hidden="0" customHeight="0" spans="1:1">
      <c r="A26" t="n">
        <v>1005</v>
      </c>
      <c r="B26" t="s">
        <v>135</v>
      </c>
      <c r="C26" t="s">
        <v>136</v>
      </c>
      <c r="D26" t="s">
        <v>137</v>
      </c>
      <c r="E26" t="s">
        <v>113</v>
      </c>
      <c r="F26" t="s">
        <v>138</v>
      </c>
      <c r="J26" t="n" s="10">
        <v>2440</v>
      </c>
      <c r="K26" t="s">
        <v>33</v>
      </c>
      <c r="L26" t="s">
        <v>139</v>
      </c>
      <c r="M26" t="s">
        <v>33</v>
      </c>
      <c r="N26" t="s">
        <v>140</v>
      </c>
      <c r="O26" t="s" s="11">
        <v/>
      </c>
      <c r="P26" t="s" s="11">
        <v/>
      </c>
      <c r="Q26" t="s" s="11">
        <v/>
      </c>
      <c r="T26" t="s">
        <v>33</v>
      </c>
      <c r="U26" t="s">
        <v>35</v>
      </c>
    </row>
    <row r="27" collapsed="0" hidden="0" customHeight="0" spans="1:1">
      <c r="A27" t="n">
        <v>1006</v>
      </c>
      <c r="B27" t="s">
        <v>141</v>
      </c>
      <c r="C27" t="s">
        <v>141</v>
      </c>
      <c r="D27" t="s">
        <v>142</v>
      </c>
      <c r="E27" t="s">
        <v>31</v>
      </c>
      <c r="F27" t="s">
        <v>99</v>
      </c>
      <c r="J27" t="n" s="10">
        <v>0</v>
      </c>
      <c r="K27" t="s">
        <v>33</v>
      </c>
      <c r="L27" t="s">
        <v>139</v>
      </c>
      <c r="M27" t="s">
        <v>33</v>
      </c>
      <c r="O27" t="s" s="11">
        <v/>
      </c>
      <c r="P27" t="s" s="11">
        <v/>
      </c>
      <c r="Q27" t="s" s="11">
        <v/>
      </c>
      <c r="T27" t="s">
        <v>33</v>
      </c>
      <c r="U27" t="s">
        <v>35</v>
      </c>
    </row>
    <row r="28" collapsed="0" hidden="0" customHeight="0" spans="1:1">
      <c r="A28" t="n">
        <v>1007</v>
      </c>
      <c r="B28" t="s">
        <v>143</v>
      </c>
      <c r="C28" t="s">
        <v>144</v>
      </c>
      <c r="D28" t="s">
        <v>145</v>
      </c>
      <c r="E28" t="s">
        <v>81</v>
      </c>
      <c r="F28" t="s">
        <v>120</v>
      </c>
      <c r="J28" t="n" s="10">
        <v>49072.5</v>
      </c>
      <c r="K28" t="s">
        <v>33</v>
      </c>
      <c r="L28" t="s">
        <v>146</v>
      </c>
      <c r="M28" t="s">
        <v>33</v>
      </c>
      <c r="N28" t="s">
        <v>147</v>
      </c>
      <c r="O28" t="s" s="11">
        <v/>
      </c>
      <c r="P28" t="s" s="11">
        <v/>
      </c>
      <c r="Q28" t="s" s="11">
        <v/>
      </c>
      <c r="T28" t="s">
        <v>33</v>
      </c>
      <c r="U28" t="s">
        <v>35</v>
      </c>
    </row>
    <row r="29" collapsed="0" hidden="0" customHeight="0" spans="1:1">
      <c r="A29" t="n">
        <v>1008</v>
      </c>
      <c r="B29" t="s">
        <v>148</v>
      </c>
      <c r="C29" t="s">
        <v>149</v>
      </c>
      <c r="D29" t="s">
        <v>150</v>
      </c>
      <c r="E29" t="s">
        <v>81</v>
      </c>
      <c r="F29" t="s">
        <v>41</v>
      </c>
      <c r="J29" t="n" s="10">
        <v>75000</v>
      </c>
      <c r="K29" t="s">
        <v>33</v>
      </c>
      <c r="L29" t="s">
        <v>151</v>
      </c>
      <c r="M29" t="s">
        <v>33</v>
      </c>
      <c r="N29" t="s">
        <v>152</v>
      </c>
      <c r="O29" t="s" s="11">
        <v/>
      </c>
      <c r="P29" t="s" s="11">
        <v/>
      </c>
      <c r="Q29" t="s" s="11">
        <v/>
      </c>
      <c r="T29" t="s">
        <v>33</v>
      </c>
      <c r="U29" t="s">
        <v>35</v>
      </c>
    </row>
    <row r="30" collapsed="0" hidden="0" customHeight="0" spans="1:1">
      <c r="A30" t="n">
        <v>1009</v>
      </c>
      <c r="B30" t="s">
        <v>153</v>
      </c>
      <c r="C30" t="s">
        <v>154</v>
      </c>
      <c r="D30" t="s">
        <v>155</v>
      </c>
      <c r="E30" t="s">
        <v>31</v>
      </c>
      <c r="F30" t="s">
        <v>156</v>
      </c>
      <c r="J30" t="n" s="10">
        <v>16380</v>
      </c>
      <c r="K30" t="s">
        <v>33</v>
      </c>
      <c r="L30" t="s">
        <v>151</v>
      </c>
      <c r="M30" t="s">
        <v>33</v>
      </c>
      <c r="N30" t="s">
        <v>152</v>
      </c>
      <c r="O30" t="s" s="11">
        <v/>
      </c>
      <c r="P30" t="s" s="11">
        <v/>
      </c>
      <c r="Q30" t="s" s="11">
        <v/>
      </c>
      <c r="T30" t="s">
        <v>33</v>
      </c>
      <c r="U30" t="s">
        <v>35</v>
      </c>
    </row>
    <row r="31" collapsed="0" hidden="0" customHeight="0" spans="1:1">
      <c r="A31" t="n">
        <v>1010</v>
      </c>
      <c r="B31" t="s">
        <v>157</v>
      </c>
      <c r="C31" t="s">
        <v>158</v>
      </c>
      <c r="D31" t="s">
        <v>159</v>
      </c>
      <c r="E31" t="s">
        <v>81</v>
      </c>
      <c r="F31" t="s">
        <v>130</v>
      </c>
      <c r="J31" t="n" s="10">
        <v>66464.5</v>
      </c>
      <c r="K31" t="s">
        <v>33</v>
      </c>
      <c r="L31" t="s">
        <v>160</v>
      </c>
      <c r="M31" t="s">
        <v>33</v>
      </c>
      <c r="O31" t="s" s="11">
        <v/>
      </c>
      <c r="P31" t="s" s="11">
        <v/>
      </c>
      <c r="Q31" t="s" s="11">
        <v/>
      </c>
      <c r="T31" t="s">
        <v>33</v>
      </c>
      <c r="U31" t="s">
        <v>35</v>
      </c>
    </row>
    <row r="32" collapsed="0" hidden="0" customHeight="0" spans="1:1">
      <c r="A32" t="n">
        <v>1011</v>
      </c>
      <c r="B32" t="s">
        <v>161</v>
      </c>
      <c r="C32" t="s">
        <v>162</v>
      </c>
      <c r="D32" t="s">
        <v>163</v>
      </c>
      <c r="E32" t="s">
        <v>113</v>
      </c>
      <c r="F32" t="s">
        <v>164</v>
      </c>
      <c r="J32" t="n" s="10">
        <v>166165.5</v>
      </c>
      <c r="K32" t="s">
        <v>33</v>
      </c>
      <c r="L32" t="s">
        <v>165</v>
      </c>
      <c r="M32" t="s">
        <v>33</v>
      </c>
      <c r="N32" t="s">
        <v>166</v>
      </c>
      <c r="O32" t="s" s="11">
        <v/>
      </c>
      <c r="P32" t="s" s="11">
        <v/>
      </c>
      <c r="Q32" t="s" s="11">
        <v/>
      </c>
      <c r="T32" t="s">
        <v>33</v>
      </c>
      <c r="U32" t="s">
        <v>35</v>
      </c>
    </row>
    <row r="33" collapsed="0" hidden="0" customHeight="0" spans="1:1">
      <c r="A33" t="n">
        <v>1012</v>
      </c>
      <c r="B33" t="s">
        <v>167</v>
      </c>
      <c r="C33" t="s">
        <v>168</v>
      </c>
      <c r="D33" t="s">
        <v>169</v>
      </c>
      <c r="E33" t="s">
        <v>81</v>
      </c>
      <c r="F33" t="s">
        <v>41</v>
      </c>
      <c r="H33" t="s">
        <v>170</v>
      </c>
      <c r="I33" t="s">
        <v>101</v>
      </c>
      <c r="J33" t="n" s="10">
        <v>75000</v>
      </c>
      <c r="K33" t="s">
        <v>33</v>
      </c>
      <c r="L33" t="s">
        <v>171</v>
      </c>
      <c r="M33" t="s">
        <v>33</v>
      </c>
      <c r="O33" t="s" s="11">
        <v/>
      </c>
      <c r="P33" t="s" s="11">
        <v/>
      </c>
      <c r="Q33" t="s" s="11">
        <v/>
      </c>
      <c r="T33" t="s">
        <v>33</v>
      </c>
      <c r="U33" t="s">
        <v>35</v>
      </c>
    </row>
    <row r="34" collapsed="0" hidden="0" customHeight="0" spans="1:1">
      <c r="A34" t="n">
        <v>1013</v>
      </c>
      <c r="B34" t="s">
        <v>172</v>
      </c>
      <c r="C34" t="s">
        <v>173</v>
      </c>
      <c r="D34" t="s">
        <v>174</v>
      </c>
      <c r="E34" t="s">
        <v>81</v>
      </c>
      <c r="F34" t="s">
        <v>175</v>
      </c>
      <c r="H34" t="s">
        <v>176</v>
      </c>
      <c r="J34" t="n" s="10">
        <v>202584.7</v>
      </c>
      <c r="K34" t="s">
        <v>33</v>
      </c>
      <c r="L34" t="s">
        <v>177</v>
      </c>
      <c r="M34" t="s">
        <v>33</v>
      </c>
      <c r="N34" t="s">
        <v>178</v>
      </c>
      <c r="O34" t="s" s="11">
        <v/>
      </c>
      <c r="P34" t="s" s="11">
        <v/>
      </c>
      <c r="Q34" t="s" s="11">
        <v/>
      </c>
      <c r="S34" t="s">
        <v>179</v>
      </c>
      <c r="T34" t="s">
        <v>33</v>
      </c>
      <c r="U34" t="s">
        <v>35</v>
      </c>
    </row>
    <row r="35" collapsed="0" hidden="0" customHeight="0" spans="1:1">
      <c r="A35" t="n">
        <v>1014</v>
      </c>
      <c r="B35" t="s">
        <v>180</v>
      </c>
      <c r="C35" t="s">
        <v>181</v>
      </c>
      <c r="D35" t="s">
        <v>182</v>
      </c>
      <c r="E35" t="s">
        <v>31</v>
      </c>
      <c r="F35" t="s">
        <v>183</v>
      </c>
      <c r="J35" t="n" s="10">
        <v>7330</v>
      </c>
      <c r="K35" t="s">
        <v>33</v>
      </c>
      <c r="L35" t="s">
        <v>184</v>
      </c>
      <c r="M35" t="s">
        <v>33</v>
      </c>
      <c r="O35" t="s" s="11">
        <v/>
      </c>
      <c r="P35" t="s" s="11">
        <v/>
      </c>
      <c r="Q35" t="s" s="11">
        <v/>
      </c>
      <c r="T35" t="s">
        <v>33</v>
      </c>
      <c r="U35" t="s">
        <v>35</v>
      </c>
    </row>
    <row r="36" collapsed="0" hidden="0" customHeight="0" spans="1:1">
      <c r="A36" t="n">
        <v>1015</v>
      </c>
      <c r="B36" t="s">
        <v>185</v>
      </c>
      <c r="C36" t="s">
        <v>186</v>
      </c>
      <c r="D36" t="s">
        <v>187</v>
      </c>
      <c r="E36" t="s">
        <v>31</v>
      </c>
      <c r="F36" t="s">
        <v>183</v>
      </c>
      <c r="J36" t="n" s="10">
        <v>13292</v>
      </c>
      <c r="K36" t="s">
        <v>33</v>
      </c>
      <c r="L36" t="s">
        <v>184</v>
      </c>
      <c r="M36" t="s">
        <v>33</v>
      </c>
      <c r="O36" t="s" s="11">
        <v/>
      </c>
      <c r="P36" t="s" s="11">
        <v/>
      </c>
      <c r="Q36" t="s" s="11">
        <v/>
      </c>
      <c r="T36" t="s">
        <v>33</v>
      </c>
      <c r="U36" t="s">
        <v>35</v>
      </c>
    </row>
    <row r="37" collapsed="0" hidden="0" customHeight="0" spans="1:1">
      <c r="A37" t="n">
        <v>1016</v>
      </c>
      <c r="B37" t="s">
        <v>188</v>
      </c>
      <c r="C37" t="s">
        <v>189</v>
      </c>
      <c r="D37" t="s">
        <v>190</v>
      </c>
      <c r="E37" t="s">
        <v>113</v>
      </c>
      <c r="F37" t="s">
        <v>191</v>
      </c>
      <c r="J37" t="n" s="10">
        <v>46475</v>
      </c>
      <c r="K37" t="s">
        <v>33</v>
      </c>
      <c r="L37" t="s">
        <v>192</v>
      </c>
      <c r="M37" t="s">
        <v>33</v>
      </c>
      <c r="N37" t="s">
        <v>193</v>
      </c>
      <c r="O37" t="s" s="11">
        <v/>
      </c>
      <c r="P37" t="s" s="11">
        <v/>
      </c>
      <c r="Q37" t="s" s="11">
        <v/>
      </c>
      <c r="T37" t="s">
        <v>33</v>
      </c>
      <c r="U37" t="s">
        <v>35</v>
      </c>
    </row>
    <row r="38" collapsed="0" hidden="0" customHeight="0" spans="1:1">
      <c r="A38" t="n">
        <v>1017</v>
      </c>
      <c r="B38" t="s">
        <v>194</v>
      </c>
      <c r="C38" t="s">
        <v>195</v>
      </c>
      <c r="D38" t="s">
        <v>196</v>
      </c>
      <c r="E38" t="s">
        <v>31</v>
      </c>
      <c r="F38" t="s">
        <v>197</v>
      </c>
      <c r="J38" t="n" s="10">
        <v>56733.5</v>
      </c>
      <c r="K38" t="s">
        <v>198</v>
      </c>
      <c r="L38" t="s">
        <v>199</v>
      </c>
      <c r="M38" t="s">
        <v>198</v>
      </c>
      <c r="O38" t="s" s="11">
        <v/>
      </c>
      <c r="P38" t="s" s="11">
        <v/>
      </c>
      <c r="Q38" t="s" s="11">
        <v/>
      </c>
      <c r="S38" t="s">
        <v>200</v>
      </c>
      <c r="T38" t="s">
        <v>198</v>
      </c>
      <c r="U38" t="s">
        <v>35</v>
      </c>
    </row>
    <row r="39" collapsed="0" hidden="0" customHeight="0" spans="1:1">
      <c r="A39" t="n">
        <v>1018</v>
      </c>
      <c r="B39" t="s">
        <v>201</v>
      </c>
      <c r="C39" t="s">
        <v>202</v>
      </c>
      <c r="D39" t="s">
        <v>203</v>
      </c>
      <c r="E39" t="s">
        <v>113</v>
      </c>
      <c r="F39" t="s">
        <v>197</v>
      </c>
      <c r="J39" t="n" s="10">
        <v>48078.5</v>
      </c>
      <c r="K39" t="s">
        <v>33</v>
      </c>
      <c r="L39" t="s">
        <v>204</v>
      </c>
      <c r="M39" t="s">
        <v>198</v>
      </c>
      <c r="N39" t="s">
        <v>205</v>
      </c>
      <c r="O39" t="s" s="11">
        <v/>
      </c>
      <c r="P39" t="s" s="11">
        <v/>
      </c>
      <c r="Q39" t="s" s="11">
        <v/>
      </c>
      <c r="T39" t="s">
        <v>198</v>
      </c>
      <c r="U39" t="s">
        <v>35</v>
      </c>
    </row>
    <row r="40" collapsed="0" hidden="0" customHeight="0" spans="1:1">
      <c r="A40" t="n">
        <v>1019</v>
      </c>
      <c r="B40" t="s">
        <v>206</v>
      </c>
      <c r="C40" t="s">
        <v>207</v>
      </c>
      <c r="D40" t="s">
        <v>208</v>
      </c>
      <c r="E40" t="s">
        <v>31</v>
      </c>
      <c r="F40" t="s">
        <v>197</v>
      </c>
      <c r="J40" t="n" s="10">
        <v>44872.7</v>
      </c>
      <c r="K40" t="s">
        <v>33</v>
      </c>
      <c r="L40" t="s">
        <v>204</v>
      </c>
      <c r="M40" t="s">
        <v>198</v>
      </c>
      <c r="O40" t="s" s="11">
        <v/>
      </c>
      <c r="P40" t="s" s="11">
        <v/>
      </c>
      <c r="Q40" t="s" s="11">
        <v/>
      </c>
      <c r="T40" t="s">
        <v>198</v>
      </c>
      <c r="U40" t="s">
        <v>35</v>
      </c>
    </row>
    <row r="41" collapsed="0" hidden="0" customHeight="0" spans="1:1">
      <c r="A41" t="n">
        <v>1021</v>
      </c>
      <c r="B41" t="s">
        <v>209</v>
      </c>
      <c r="C41" t="s">
        <v>210</v>
      </c>
      <c r="D41" t="s">
        <v>211</v>
      </c>
      <c r="E41" t="s">
        <v>113</v>
      </c>
      <c r="F41" t="s">
        <v>212</v>
      </c>
      <c r="J41" t="n" s="10">
        <v>50675.75</v>
      </c>
      <c r="K41" t="s">
        <v>33</v>
      </c>
      <c r="L41" t="s">
        <v>213</v>
      </c>
      <c r="M41" t="s">
        <v>33</v>
      </c>
      <c r="N41" t="s">
        <v>214</v>
      </c>
      <c r="O41" t="s" s="11">
        <v/>
      </c>
      <c r="P41" t="s" s="11">
        <v/>
      </c>
      <c r="Q41" t="s" s="11">
        <v/>
      </c>
      <c r="S41" t="s">
        <v>215</v>
      </c>
      <c r="T41" t="s">
        <v>33</v>
      </c>
      <c r="U41" t="s">
        <v>35</v>
      </c>
    </row>
    <row r="42" collapsed="0" hidden="0" customHeight="0" spans="1:1">
      <c r="A42" t="n">
        <v>1022</v>
      </c>
      <c r="B42" t="s">
        <v>216</v>
      </c>
      <c r="C42" t="s">
        <v>217</v>
      </c>
      <c r="D42" t="s">
        <v>218</v>
      </c>
      <c r="E42" t="s">
        <v>113</v>
      </c>
      <c r="F42" t="s">
        <v>219</v>
      </c>
      <c r="J42" t="n" s="10">
        <v>109457.2</v>
      </c>
      <c r="K42" t="s">
        <v>33</v>
      </c>
      <c r="L42" t="s">
        <v>220</v>
      </c>
      <c r="M42" t="s">
        <v>33</v>
      </c>
      <c r="N42" t="s">
        <v>221</v>
      </c>
      <c r="O42" t="s" s="11">
        <v/>
      </c>
      <c r="P42" t="s" s="11">
        <v/>
      </c>
      <c r="Q42" t="s" s="11">
        <v/>
      </c>
      <c r="T42" t="s">
        <v>33</v>
      </c>
      <c r="U42" t="s">
        <v>35</v>
      </c>
    </row>
    <row r="43" collapsed="0" hidden="0" customHeight="0" spans="1:1">
      <c r="A43" t="n">
        <v>1023</v>
      </c>
      <c r="B43" t="s">
        <v>222</v>
      </c>
      <c r="C43" t="s">
        <v>223</v>
      </c>
      <c r="D43" t="s">
        <v>224</v>
      </c>
      <c r="E43" t="s">
        <v>81</v>
      </c>
      <c r="F43" t="s">
        <v>225</v>
      </c>
      <c r="H43" t="s">
        <v>226</v>
      </c>
      <c r="J43" t="n" s="10">
        <v>33215.5</v>
      </c>
      <c r="K43" t="s">
        <v>33</v>
      </c>
      <c r="L43" t="s">
        <v>227</v>
      </c>
      <c r="M43" t="s">
        <v>198</v>
      </c>
      <c r="N43" t="s">
        <v>193</v>
      </c>
      <c r="O43" t="s" s="11">
        <v/>
      </c>
      <c r="P43" t="s" s="11">
        <v/>
      </c>
      <c r="Q43" t="s" s="11">
        <v/>
      </c>
      <c r="T43" t="s">
        <v>198</v>
      </c>
      <c r="U43" t="s">
        <v>228</v>
      </c>
    </row>
    <row r="44" collapsed="0" hidden="0" customHeight="0" spans="1:1">
      <c r="A44" t="n">
        <v>1024</v>
      </c>
      <c r="B44" t="s">
        <v>229</v>
      </c>
      <c r="C44" t="s">
        <v>230</v>
      </c>
      <c r="D44" t="s">
        <v>231</v>
      </c>
      <c r="E44" t="s">
        <v>31</v>
      </c>
      <c r="F44" t="s">
        <v>232</v>
      </c>
      <c r="J44" t="n" s="10">
        <v>0</v>
      </c>
      <c r="K44" t="s">
        <v>198</v>
      </c>
      <c r="L44" t="s">
        <v>233</v>
      </c>
      <c r="M44" t="s">
        <v>198</v>
      </c>
      <c r="O44" t="s" s="11">
        <v/>
      </c>
      <c r="P44" t="s" s="11">
        <v/>
      </c>
      <c r="Q44" t="s" s="11">
        <v/>
      </c>
      <c r="T44" t="s">
        <v>198</v>
      </c>
      <c r="U44" t="s">
        <v>228</v>
      </c>
    </row>
    <row r="45" collapsed="0" hidden="0" customHeight="0" spans="1:1">
      <c r="A45" t="n">
        <v>1025</v>
      </c>
      <c r="B45" t="s">
        <v>234</v>
      </c>
      <c r="C45" t="s">
        <v>235</v>
      </c>
      <c r="D45" t="s">
        <v>236</v>
      </c>
      <c r="E45" t="s">
        <v>81</v>
      </c>
      <c r="F45" t="s">
        <v>120</v>
      </c>
      <c r="J45" t="n" s="10">
        <v>53614.25</v>
      </c>
      <c r="K45" t="s">
        <v>33</v>
      </c>
      <c r="L45" t="s">
        <v>237</v>
      </c>
      <c r="M45" t="s">
        <v>33</v>
      </c>
      <c r="O45" t="s" s="11">
        <v/>
      </c>
      <c r="P45" t="s" s="11">
        <v/>
      </c>
      <c r="Q45" t="s" s="11">
        <v/>
      </c>
      <c r="T45" t="s">
        <v>33</v>
      </c>
      <c r="U45" t="s">
        <v>35</v>
      </c>
    </row>
    <row r="46" collapsed="0" hidden="0" customHeight="0" spans="1:1">
      <c r="A46" t="n">
        <v>1026</v>
      </c>
      <c r="B46" t="s">
        <v>238</v>
      </c>
      <c r="C46" t="s">
        <v>239</v>
      </c>
      <c r="D46" t="s">
        <v>240</v>
      </c>
      <c r="E46" t="s">
        <v>81</v>
      </c>
      <c r="F46" t="s">
        <v>241</v>
      </c>
      <c r="G46" t="s">
        <v>33</v>
      </c>
      <c r="H46" t="s">
        <v>240</v>
      </c>
      <c r="I46" t="s">
        <v>101</v>
      </c>
      <c r="J46" t="n" s="10">
        <v>63237.5</v>
      </c>
      <c r="K46" t="s">
        <v>33</v>
      </c>
      <c r="L46" t="s">
        <v>242</v>
      </c>
      <c r="M46" t="s">
        <v>33</v>
      </c>
      <c r="N46" t="s">
        <v>243</v>
      </c>
      <c r="O46" t="str" s="11">
        <f>HYPERLINK("https://cdn.contractorforeman.net/22823/6353466/estimates/large/Img_1783703255468.jpg?token=7WZX-_WP-aO0SanqzLLuc_ff23az__9WmUi2mZG4r7g&amp;class=thumb&amp;expires=1790540074", "Img_1783703255468.jpg?token=7WZX-_WP-aO0SanqzLLuc_ff23az__9WmUi2mZG4r7g&amp;class=thumb&amp;expires=1790540074")</f>
      </c>
      <c r="P46" t="str" s="11">
        <f>HYPERLINK("https://cdn.contractorforeman.net/22823/6353466/estimates/large/20260710_100557.jpg?token=M1O4nkKnfeEW5nPJnA2Qjwd0kF9px8H6vloVii4WgnE&amp;class=thumb&amp;expires=1790540074", "20260710_100557.jpg?token=M1O4nkKnfeEW5nPJnA2Qjwd0kF9px8H6vloVii4WgnE&amp;class=thumb&amp;expires=1790540074")</f>
      </c>
      <c r="Q46" t="str" s="11">
        <f>HYPERLINK("https://cdn.contractorforeman.net/22823/6353466/estimates/large/20260710_100605.jpg?token=QsyOiT0-2gBN8NrbhW4Wi2ZBfFtI3wkxFkH1zPKODVY&amp;expires=1790540074", "20260710_100605.jpg?token=QsyOiT0-2gBN8NrbhW4Wi2ZBfFtI3wkxFkH1zPKODVY&amp;expires=1790540074")</f>
      </c>
      <c r="T46" t="s">
        <v>33</v>
      </c>
      <c r="U46" t="s">
        <v>35</v>
      </c>
    </row>
    <row r="47" collapsed="0" hidden="0" customHeight="0" spans="1:1">
      <c r="A47" t="n">
        <v>1027</v>
      </c>
      <c r="B47" t="s">
        <v>244</v>
      </c>
      <c r="C47" t="s">
        <v>245</v>
      </c>
      <c r="D47" t="s">
        <v>246</v>
      </c>
      <c r="E47" t="s">
        <v>31</v>
      </c>
      <c r="F47" t="s">
        <v>183</v>
      </c>
      <c r="J47" t="n" s="10">
        <v>19027</v>
      </c>
      <c r="K47" t="s">
        <v>33</v>
      </c>
      <c r="L47" t="s">
        <v>247</v>
      </c>
      <c r="M47" t="s">
        <v>33</v>
      </c>
      <c r="O47" t="s" s="11">
        <v/>
      </c>
      <c r="P47" t="s" s="11">
        <v/>
      </c>
      <c r="Q47" t="s" s="11">
        <v/>
      </c>
      <c r="T47" t="s">
        <v>33</v>
      </c>
      <c r="U47" t="s">
        <v>35</v>
      </c>
    </row>
    <row r="48" collapsed="0" hidden="0" customHeight="0" spans="1:1">
      <c r="A48" t="n">
        <v>1028</v>
      </c>
      <c r="B48" t="s">
        <v>248</v>
      </c>
      <c r="C48" t="s">
        <v>249</v>
      </c>
      <c r="D48" t="s">
        <v>250</v>
      </c>
      <c r="E48" t="s">
        <v>31</v>
      </c>
      <c r="F48" t="s">
        <v>183</v>
      </c>
      <c r="J48" t="n" s="10">
        <v>17081</v>
      </c>
      <c r="K48" t="s">
        <v>33</v>
      </c>
      <c r="L48" t="s">
        <v>251</v>
      </c>
      <c r="M48" t="s">
        <v>33</v>
      </c>
      <c r="O48" t="s" s="11">
        <v/>
      </c>
      <c r="P48" t="s" s="11">
        <v/>
      </c>
      <c r="Q48" t="s" s="11">
        <v/>
      </c>
      <c r="T48" t="s">
        <v>33</v>
      </c>
      <c r="U48" t="s">
        <v>35</v>
      </c>
    </row>
    <row r="49" collapsed="0" hidden="0" customHeight="0" spans="1:1">
      <c r="A49" t="n">
        <v>1029</v>
      </c>
      <c r="B49" t="s">
        <v>252</v>
      </c>
      <c r="C49" t="s">
        <v>253</v>
      </c>
      <c r="D49" t="s">
        <v>250</v>
      </c>
      <c r="E49" t="s">
        <v>113</v>
      </c>
      <c r="F49" t="s">
        <v>254</v>
      </c>
      <c r="J49" t="n" s="10">
        <v>6600</v>
      </c>
      <c r="K49" t="s">
        <v>33</v>
      </c>
      <c r="L49" t="s">
        <v>251</v>
      </c>
      <c r="M49" t="s">
        <v>33</v>
      </c>
      <c r="N49" t="s">
        <v>255</v>
      </c>
      <c r="O49" t="s" s="11">
        <v/>
      </c>
      <c r="P49" t="s" s="11">
        <v/>
      </c>
      <c r="Q49" t="s" s="11">
        <v/>
      </c>
      <c r="T49" t="s">
        <v>33</v>
      </c>
      <c r="U49" t="s">
        <v>35</v>
      </c>
    </row>
    <row r="50" collapsed="0" hidden="0" customHeight="0" spans="1:1">
      <c r="A50" t="n">
        <v>1030</v>
      </c>
      <c r="B50" t="s">
        <v>256</v>
      </c>
      <c r="C50" t="s">
        <v>257</v>
      </c>
      <c r="D50" t="s">
        <v>258</v>
      </c>
      <c r="E50" t="s">
        <v>81</v>
      </c>
      <c r="F50" t="s">
        <v>259</v>
      </c>
      <c r="H50" t="s">
        <v>258</v>
      </c>
      <c r="J50" t="n" s="10">
        <v>38138.75</v>
      </c>
      <c r="K50" t="s">
        <v>33</v>
      </c>
      <c r="L50" t="s">
        <v>260</v>
      </c>
      <c r="M50" t="s">
        <v>33</v>
      </c>
      <c r="N50" t="s">
        <v>261</v>
      </c>
      <c r="O50" t="s" s="11">
        <v/>
      </c>
      <c r="P50" t="s" s="11">
        <v/>
      </c>
      <c r="Q50" t="s" s="11">
        <v/>
      </c>
      <c r="T50" t="s">
        <v>33</v>
      </c>
      <c r="U50" t="s">
        <v>35</v>
      </c>
    </row>
    <row r="51" collapsed="0" hidden="0" customHeight="0" spans="1:1">
      <c r="A51" t="n">
        <v>1031</v>
      </c>
      <c r="B51" t="s">
        <v>262</v>
      </c>
      <c r="C51" t="s">
        <v>263</v>
      </c>
      <c r="D51" t="s">
        <v>264</v>
      </c>
      <c r="E51" t="s">
        <v>113</v>
      </c>
      <c r="F51" t="s">
        <v>232</v>
      </c>
      <c r="J51" t="n" s="10">
        <v>58661.25</v>
      </c>
      <c r="K51" t="s">
        <v>33</v>
      </c>
      <c r="L51" t="s">
        <v>260</v>
      </c>
      <c r="M51" t="s">
        <v>33</v>
      </c>
      <c r="N51" t="s">
        <v>261</v>
      </c>
      <c r="O51" t="s" s="11">
        <v/>
      </c>
      <c r="P51" t="s" s="11">
        <v/>
      </c>
      <c r="Q51" t="s" s="11">
        <v/>
      </c>
      <c r="T51" t="s">
        <v>33</v>
      </c>
      <c r="U51" t="s">
        <v>35</v>
      </c>
    </row>
    <row r="52" collapsed="0" hidden="0" customHeight="0" spans="1:1">
      <c r="A52" t="n">
        <v>1032</v>
      </c>
      <c r="B52" t="s">
        <v>265</v>
      </c>
      <c r="C52" t="s">
        <v>266</v>
      </c>
      <c r="D52" t="s">
        <v>267</v>
      </c>
      <c r="E52" t="s">
        <v>31</v>
      </c>
      <c r="F52" t="s">
        <v>254</v>
      </c>
      <c r="J52" t="n" s="10">
        <v>29569</v>
      </c>
      <c r="K52" t="s">
        <v>33</v>
      </c>
      <c r="L52" t="s">
        <v>268</v>
      </c>
      <c r="M52" t="s">
        <v>33</v>
      </c>
      <c r="N52" t="s">
        <v>269</v>
      </c>
      <c r="O52" t="s" s="11">
        <v/>
      </c>
      <c r="P52" t="s" s="11">
        <v/>
      </c>
      <c r="Q52" t="s" s="11">
        <v/>
      </c>
      <c r="T52" t="s">
        <v>33</v>
      </c>
      <c r="U52" t="s">
        <v>35</v>
      </c>
    </row>
    <row r="53" collapsed="0" hidden="0" customHeight="0" spans="1:1">
      <c r="A53" t="n">
        <v>1033</v>
      </c>
      <c r="B53" t="s">
        <v>270</v>
      </c>
      <c r="C53" t="s">
        <v>271</v>
      </c>
      <c r="D53" t="s">
        <v>272</v>
      </c>
      <c r="E53" t="s">
        <v>113</v>
      </c>
      <c r="F53" t="s">
        <v>273</v>
      </c>
      <c r="J53" t="n" s="10">
        <v>18963.75</v>
      </c>
      <c r="K53" t="s">
        <v>33</v>
      </c>
      <c r="L53" t="s">
        <v>274</v>
      </c>
      <c r="M53" t="s">
        <v>33</v>
      </c>
      <c r="N53" t="s">
        <v>275</v>
      </c>
      <c r="O53" t="s" s="11">
        <v/>
      </c>
      <c r="P53" t="s" s="11">
        <v/>
      </c>
      <c r="Q53" t="s" s="11">
        <v/>
      </c>
      <c r="T53" t="s">
        <v>33</v>
      </c>
      <c r="U53" t="s">
        <v>35</v>
      </c>
    </row>
    <row r="54" collapsed="0" hidden="0" customHeight="0" spans="1:1">
      <c r="A54" t="n">
        <v>1034</v>
      </c>
      <c r="B54" t="s">
        <v>276</v>
      </c>
      <c r="C54" t="s">
        <v>277</v>
      </c>
      <c r="D54" t="s">
        <v>278</v>
      </c>
      <c r="E54" t="s">
        <v>113</v>
      </c>
      <c r="F54" t="s">
        <v>279</v>
      </c>
      <c r="J54" t="n" s="10">
        <v>57635</v>
      </c>
      <c r="K54" t="s">
        <v>33</v>
      </c>
      <c r="L54" t="s">
        <v>280</v>
      </c>
      <c r="M54" t="s">
        <v>33</v>
      </c>
      <c r="N54" t="s">
        <v>281</v>
      </c>
      <c r="O54" t="s" s="11">
        <v/>
      </c>
      <c r="P54" t="s" s="11">
        <v/>
      </c>
      <c r="Q54" t="s" s="11">
        <v/>
      </c>
      <c r="T54" t="s">
        <v>33</v>
      </c>
      <c r="U54" t="s">
        <v>35</v>
      </c>
    </row>
    <row r="55" collapsed="0" hidden="0" customHeight="0" spans="1:1">
      <c r="A55" t="n">
        <v>1035</v>
      </c>
      <c r="B55" t="s">
        <v>282</v>
      </c>
      <c r="C55" t="s">
        <v>283</v>
      </c>
      <c r="D55" t="s">
        <v>284</v>
      </c>
      <c r="E55" t="s">
        <v>31</v>
      </c>
      <c r="F55" t="s">
        <v>285</v>
      </c>
      <c r="J55" t="n" s="10">
        <v>65067.25</v>
      </c>
      <c r="K55" t="s">
        <v>33</v>
      </c>
      <c r="L55" t="s">
        <v>280</v>
      </c>
      <c r="M55" t="s">
        <v>33</v>
      </c>
      <c r="O55" t="s" s="11">
        <v/>
      </c>
      <c r="P55" t="s" s="11">
        <v/>
      </c>
      <c r="Q55" t="s" s="11">
        <v/>
      </c>
      <c r="T55" t="s">
        <v>33</v>
      </c>
      <c r="U55" t="s">
        <v>35</v>
      </c>
    </row>
    <row r="56" collapsed="0" hidden="0" customHeight="0" spans="1:1">
      <c r="A56" t="n">
        <v>1036</v>
      </c>
      <c r="B56" t="s">
        <v>283</v>
      </c>
      <c r="C56" t="s">
        <v>286</v>
      </c>
      <c r="D56" t="s">
        <v>285</v>
      </c>
      <c r="E56" t="s">
        <v>47</v>
      </c>
      <c r="F56" t="s">
        <v>285</v>
      </c>
      <c r="H56" t="s">
        <v>287</v>
      </c>
      <c r="J56" t="n" s="10">
        <v>40491.75</v>
      </c>
      <c r="K56" t="s">
        <v>33</v>
      </c>
      <c r="L56" t="s">
        <v>280</v>
      </c>
      <c r="M56" t="s">
        <v>33</v>
      </c>
      <c r="N56" t="s">
        <v>281</v>
      </c>
      <c r="O56" t="s" s="11">
        <v/>
      </c>
      <c r="P56" t="s" s="11">
        <v/>
      </c>
      <c r="Q56" t="s" s="11">
        <v/>
      </c>
      <c r="T56" t="s">
        <v>33</v>
      </c>
      <c r="U56" t="s">
        <v>35</v>
      </c>
    </row>
    <row r="57" collapsed="0" hidden="0" customHeight="0" spans="1:1">
      <c r="A57" t="n">
        <v>1037</v>
      </c>
      <c r="B57" t="s">
        <v>288</v>
      </c>
      <c r="C57" t="s">
        <v>289</v>
      </c>
      <c r="D57" t="s">
        <v>290</v>
      </c>
      <c r="E57" t="s">
        <v>113</v>
      </c>
      <c r="F57" t="s">
        <v>291</v>
      </c>
      <c r="J57" t="n" s="10">
        <v>29090.25</v>
      </c>
      <c r="K57" t="s">
        <v>33</v>
      </c>
      <c r="L57" t="s">
        <v>292</v>
      </c>
      <c r="M57" t="s">
        <v>33</v>
      </c>
      <c r="N57" t="s">
        <v>293</v>
      </c>
      <c r="O57" t="s" s="11">
        <v/>
      </c>
      <c r="P57" t="s" s="11">
        <v/>
      </c>
      <c r="Q57" t="s" s="11">
        <v/>
      </c>
      <c r="T57" t="s">
        <v>33</v>
      </c>
      <c r="U57" t="s">
        <v>35</v>
      </c>
    </row>
    <row r="58" collapsed="0" hidden="0" customHeight="0" spans="1:1">
      <c r="A58" t="n">
        <v>1038</v>
      </c>
      <c r="B58" t="s">
        <v>294</v>
      </c>
      <c r="C58" t="s">
        <v>295</v>
      </c>
      <c r="D58" t="s">
        <v>296</v>
      </c>
      <c r="E58" t="s">
        <v>31</v>
      </c>
      <c r="F58" t="s">
        <v>291</v>
      </c>
      <c r="J58" t="n" s="10">
        <v>37280.25</v>
      </c>
      <c r="K58" t="s">
        <v>33</v>
      </c>
      <c r="L58" t="s">
        <v>292</v>
      </c>
      <c r="M58" t="s">
        <v>33</v>
      </c>
      <c r="O58" t="s" s="11">
        <v/>
      </c>
      <c r="P58" t="s" s="11">
        <v/>
      </c>
      <c r="Q58" t="s" s="11">
        <v/>
      </c>
      <c r="T58" t="s">
        <v>33</v>
      </c>
      <c r="U58" t="s">
        <v>35</v>
      </c>
    </row>
    <row r="59" collapsed="0" hidden="0" customHeight="0" spans="1:1">
      <c r="A59" t="n">
        <v>1039</v>
      </c>
      <c r="B59" t="s">
        <v>297</v>
      </c>
      <c r="C59" t="s">
        <v>298</v>
      </c>
      <c r="D59" t="s">
        <v>299</v>
      </c>
      <c r="E59" t="s">
        <v>113</v>
      </c>
      <c r="F59" t="s">
        <v>175</v>
      </c>
      <c r="H59" t="s">
        <v>300</v>
      </c>
      <c r="J59" t="n" s="10">
        <v>132968.25</v>
      </c>
      <c r="K59" t="s">
        <v>33</v>
      </c>
      <c r="L59" t="s">
        <v>301</v>
      </c>
      <c r="M59" t="s">
        <v>33</v>
      </c>
      <c r="N59" t="s">
        <v>302</v>
      </c>
      <c r="O59" t="s" s="11">
        <v/>
      </c>
      <c r="P59" t="s" s="11">
        <v/>
      </c>
      <c r="Q59" t="s" s="11">
        <v/>
      </c>
      <c r="T59" t="s">
        <v>33</v>
      </c>
      <c r="U59" t="s">
        <v>35</v>
      </c>
    </row>
    <row r="60" collapsed="0" hidden="0" customHeight="0" spans="1:1">
      <c r="A60" t="n">
        <v>1040</v>
      </c>
      <c r="B60" t="s">
        <v>303</v>
      </c>
      <c r="C60" t="s">
        <v>304</v>
      </c>
      <c r="D60" t="s">
        <v>305</v>
      </c>
      <c r="E60" t="s">
        <v>113</v>
      </c>
      <c r="F60" t="s">
        <v>306</v>
      </c>
      <c r="J60" t="n" s="10">
        <v>41000.5</v>
      </c>
      <c r="K60" t="s">
        <v>198</v>
      </c>
      <c r="L60" t="s">
        <v>243</v>
      </c>
      <c r="M60" t="s">
        <v>198</v>
      </c>
      <c r="N60" t="s">
        <v>307</v>
      </c>
      <c r="O60" t="str" s="11">
        <f>HYPERLINK("https://cdn.contractorforeman.net/22823/5652998/estimates/large/104_Mellano_Way_2D.pdf?token=_c9B9aT_xGPQTy9DEQfQggDC3F5s5M4wF_YualF6mVU&amp;expires=1790540074", "104_Mellano_Way_2D.pdf?token=_c9B9aT_xGPQTy9DEQfQggDC3F5s5M4wF_YualF6mVU&amp;expires=1790540074")</f>
      </c>
      <c r="P60" t="s" s="11">
        <v/>
      </c>
      <c r="Q60" t="s" s="11">
        <v/>
      </c>
      <c r="T60" t="s">
        <v>198</v>
      </c>
      <c r="U60" t="s">
        <v>35</v>
      </c>
    </row>
    <row r="61" collapsed="0" hidden="0" customHeight="0" spans="1:1">
      <c r="A61" t="n">
        <v>1041</v>
      </c>
      <c r="B61" t="s">
        <v>308</v>
      </c>
      <c r="C61" t="s">
        <v>309</v>
      </c>
      <c r="D61" t="s">
        <v>310</v>
      </c>
      <c r="E61" t="s">
        <v>113</v>
      </c>
      <c r="F61" t="s">
        <v>306</v>
      </c>
      <c r="J61" t="n" s="10">
        <v>55084</v>
      </c>
      <c r="K61" t="s">
        <v>33</v>
      </c>
      <c r="L61" t="s">
        <v>243</v>
      </c>
      <c r="M61" t="s">
        <v>198</v>
      </c>
      <c r="N61" t="s">
        <v>307</v>
      </c>
      <c r="O61" t="s" s="11">
        <v/>
      </c>
      <c r="P61" t="s" s="11">
        <v/>
      </c>
      <c r="Q61" t="s" s="11">
        <v/>
      </c>
      <c r="T61" t="s">
        <v>198</v>
      </c>
      <c r="U61" t="s">
        <v>35</v>
      </c>
    </row>
    <row r="62" collapsed="0" hidden="0" customHeight="0" spans="1:1">
      <c r="A62" t="n">
        <v>1042</v>
      </c>
      <c r="B62" t="s">
        <v>311</v>
      </c>
      <c r="C62" t="s">
        <v>312</v>
      </c>
      <c r="D62" t="s">
        <v>313</v>
      </c>
      <c r="E62" t="s">
        <v>31</v>
      </c>
      <c r="F62" t="s">
        <v>314</v>
      </c>
      <c r="G62" t="s">
        <v>198</v>
      </c>
      <c r="J62" t="n" s="10">
        <v>52000</v>
      </c>
      <c r="K62" t="s">
        <v>33</v>
      </c>
      <c r="L62" t="s">
        <v>315</v>
      </c>
      <c r="M62" t="s">
        <v>33</v>
      </c>
      <c r="O62" t="s" s="11">
        <v/>
      </c>
      <c r="P62" t="s" s="11">
        <v/>
      </c>
      <c r="Q62" t="s" s="11">
        <v/>
      </c>
      <c r="T62" t="s">
        <v>33</v>
      </c>
      <c r="U62" t="s">
        <v>35</v>
      </c>
    </row>
    <row r="63" collapsed="0" hidden="0" customHeight="0" spans="1:1">
      <c r="A63" t="n">
        <v>1043</v>
      </c>
      <c r="B63" t="s">
        <v>316</v>
      </c>
      <c r="C63" t="s">
        <v>317</v>
      </c>
      <c r="D63" t="s">
        <v>318</v>
      </c>
      <c r="E63" t="s">
        <v>31</v>
      </c>
      <c r="F63" t="s">
        <v>319</v>
      </c>
      <c r="G63" t="s">
        <v>198</v>
      </c>
      <c r="J63" t="n" s="10">
        <v>51536</v>
      </c>
      <c r="K63" t="s">
        <v>33</v>
      </c>
      <c r="L63" t="s">
        <v>320</v>
      </c>
      <c r="M63" t="s">
        <v>33</v>
      </c>
      <c r="O63" t="s" s="11">
        <v/>
      </c>
      <c r="P63" t="s" s="11">
        <v/>
      </c>
      <c r="Q63" t="s" s="11">
        <v/>
      </c>
      <c r="T63" t="s">
        <v>33</v>
      </c>
      <c r="U63" t="s">
        <v>35</v>
      </c>
    </row>
    <row r="64" collapsed="0" hidden="0" customHeight="0" spans="1:1">
      <c r="A64" t="n">
        <v>1044</v>
      </c>
      <c r="B64" t="s">
        <v>321</v>
      </c>
      <c r="C64" t="s">
        <v>322</v>
      </c>
      <c r="D64" t="s">
        <v>323</v>
      </c>
      <c r="E64" t="s">
        <v>31</v>
      </c>
      <c r="F64" t="s">
        <v>319</v>
      </c>
      <c r="G64" t="s">
        <v>198</v>
      </c>
      <c r="J64" t="n" s="10">
        <v>39833</v>
      </c>
      <c r="K64" t="s">
        <v>33</v>
      </c>
      <c r="L64" t="s">
        <v>320</v>
      </c>
      <c r="M64" t="s">
        <v>33</v>
      </c>
      <c r="O64" t="s" s="11">
        <v/>
      </c>
      <c r="P64" t="s" s="11">
        <v/>
      </c>
      <c r="Q64" t="s" s="11">
        <v/>
      </c>
      <c r="T64" t="s">
        <v>33</v>
      </c>
      <c r="U64" t="s">
        <v>35</v>
      </c>
    </row>
    <row r="65" collapsed="0" hidden="0" customHeight="0" spans="1:1">
      <c r="A65" t="n">
        <v>1045</v>
      </c>
      <c r="B65" t="s">
        <v>322</v>
      </c>
      <c r="C65" t="s">
        <v>324</v>
      </c>
      <c r="D65" t="s">
        <v>325</v>
      </c>
      <c r="E65" t="s">
        <v>113</v>
      </c>
      <c r="F65" t="s">
        <v>319</v>
      </c>
      <c r="G65" t="s">
        <v>198</v>
      </c>
      <c r="J65" t="n" s="10">
        <v>36399.5</v>
      </c>
      <c r="K65" t="s">
        <v>33</v>
      </c>
      <c r="L65" t="s">
        <v>320</v>
      </c>
      <c r="M65" t="s">
        <v>33</v>
      </c>
      <c r="N65" t="s">
        <v>326</v>
      </c>
      <c r="O65" t="s" s="11">
        <v/>
      </c>
      <c r="P65" t="s" s="11">
        <v/>
      </c>
      <c r="Q65" t="s" s="11">
        <v/>
      </c>
      <c r="T65" t="s">
        <v>33</v>
      </c>
      <c r="U65" t="s">
        <v>35</v>
      </c>
    </row>
    <row r="66" collapsed="0" hidden="0" customHeight="0" spans="1:1">
      <c r="A66" t="n">
        <v>1046</v>
      </c>
      <c r="B66" t="s">
        <v>327</v>
      </c>
      <c r="C66" t="s">
        <v>328</v>
      </c>
      <c r="D66" t="s">
        <v>329</v>
      </c>
      <c r="E66" t="s">
        <v>81</v>
      </c>
      <c r="F66" t="s">
        <v>212</v>
      </c>
      <c r="H66" t="s">
        <v>330</v>
      </c>
      <c r="J66" t="n" s="10">
        <v>54578.25</v>
      </c>
      <c r="K66" t="s">
        <v>33</v>
      </c>
      <c r="L66" t="s">
        <v>331</v>
      </c>
      <c r="M66" t="s">
        <v>33</v>
      </c>
      <c r="N66" t="s">
        <v>332</v>
      </c>
      <c r="O66" t="str" s="11">
        <f>HYPERLINK("https://cdn.contractorforeman.net/22823/5652998/estimates/large/Hawthorne_Landscaping_Plans.pdf?token=8tuLZOSzt9ATIHHJyckMPXgHyf-2gwnD9z64jvP6qI8&amp;expires=1790540074", "Hawthorne_Landscaping_Plans.pdf?token=8tuLZOSzt9ATIHHJyckMPXgHyf-2gwnD9z64jvP6qI8&amp;expires=1790540074")</f>
      </c>
      <c r="P66" t="s" s="11">
        <v/>
      </c>
      <c r="Q66" t="s" s="11">
        <v/>
      </c>
      <c r="T66" t="s">
        <v>33</v>
      </c>
      <c r="U66" t="s">
        <v>35</v>
      </c>
    </row>
    <row r="67" collapsed="0" hidden="0" customHeight="0" spans="1:1">
      <c r="A67" t="n">
        <v>1047</v>
      </c>
      <c r="B67" t="s">
        <v>333</v>
      </c>
      <c r="C67" t="s">
        <v>334</v>
      </c>
      <c r="D67" t="s">
        <v>335</v>
      </c>
      <c r="E67" t="s">
        <v>31</v>
      </c>
      <c r="F67" t="s">
        <v>336</v>
      </c>
      <c r="H67" t="s">
        <v>337</v>
      </c>
      <c r="I67" t="s">
        <v>101</v>
      </c>
      <c r="J67" t="n" s="10">
        <v>83456.75</v>
      </c>
      <c r="K67" t="s">
        <v>33</v>
      </c>
      <c r="L67" t="s">
        <v>338</v>
      </c>
      <c r="M67" t="s">
        <v>33</v>
      </c>
      <c r="O67" t="s" s="11">
        <v/>
      </c>
      <c r="P67" t="s" s="11">
        <v/>
      </c>
      <c r="Q67" t="s" s="11">
        <v/>
      </c>
      <c r="T67" t="s">
        <v>33</v>
      </c>
      <c r="U67" t="s">
        <v>35</v>
      </c>
    </row>
    <row r="68" collapsed="0" hidden="0" customHeight="0" spans="1:1">
      <c r="A68" t="n">
        <v>1048</v>
      </c>
      <c r="B68" t="s">
        <v>339</v>
      </c>
      <c r="C68" t="s">
        <v>340</v>
      </c>
      <c r="D68" t="s">
        <v>341</v>
      </c>
      <c r="E68" t="s">
        <v>81</v>
      </c>
      <c r="F68" t="s">
        <v>336</v>
      </c>
      <c r="G68" t="s">
        <v>198</v>
      </c>
      <c r="H68" t="s">
        <v>337</v>
      </c>
      <c r="I68" t="s">
        <v>101</v>
      </c>
      <c r="J68" t="n" s="10">
        <v>70000</v>
      </c>
      <c r="K68" t="s">
        <v>33</v>
      </c>
      <c r="L68" t="s">
        <v>342</v>
      </c>
      <c r="M68" t="s">
        <v>33</v>
      </c>
      <c r="N68" t="s">
        <v>343</v>
      </c>
      <c r="O68" t="s" s="11">
        <v/>
      </c>
      <c r="P68" t="s" s="11">
        <v/>
      </c>
      <c r="Q68" t="s" s="11">
        <v/>
      </c>
      <c r="T68" t="s">
        <v>33</v>
      </c>
      <c r="U68" t="s">
        <v>35</v>
      </c>
    </row>
    <row r="69" collapsed="0" hidden="0" customHeight="0" spans="1:1">
      <c r="A69" t="n">
        <v>1050</v>
      </c>
      <c r="B69" t="s">
        <v>344</v>
      </c>
      <c r="C69" t="s">
        <v>334</v>
      </c>
      <c r="D69" t="s">
        <v>345</v>
      </c>
      <c r="E69" t="s">
        <v>31</v>
      </c>
      <c r="F69" t="s">
        <v>175</v>
      </c>
      <c r="H69" t="s">
        <v>300</v>
      </c>
      <c r="I69" t="s">
        <v>101</v>
      </c>
      <c r="J69" t="n" s="10">
        <v>241248</v>
      </c>
      <c r="K69" t="s">
        <v>33</v>
      </c>
      <c r="L69" t="s">
        <v>346</v>
      </c>
      <c r="M69" t="s">
        <v>33</v>
      </c>
      <c r="O69" t="s" s="11">
        <v/>
      </c>
      <c r="P69" t="s" s="11">
        <v/>
      </c>
      <c r="Q69" t="s" s="11">
        <v/>
      </c>
      <c r="T69" t="s">
        <v>33</v>
      </c>
      <c r="U69" t="s">
        <v>35</v>
      </c>
    </row>
    <row r="70" collapsed="0" hidden="0" customHeight="0" spans="1:1">
      <c r="A70" t="n">
        <v>1051</v>
      </c>
      <c r="B70" t="s">
        <v>347</v>
      </c>
      <c r="C70" t="s">
        <v>348</v>
      </c>
      <c r="D70" t="s">
        <v>349</v>
      </c>
      <c r="E70" t="s">
        <v>31</v>
      </c>
      <c r="F70" t="s">
        <v>306</v>
      </c>
      <c r="J70" t="n" s="10">
        <v>54863</v>
      </c>
      <c r="K70" t="s">
        <v>33</v>
      </c>
      <c r="L70" t="s">
        <v>350</v>
      </c>
      <c r="M70" t="s">
        <v>198</v>
      </c>
      <c r="O70" t="s" s="11">
        <v/>
      </c>
      <c r="P70" t="s" s="11">
        <v/>
      </c>
      <c r="Q70" t="s" s="11">
        <v/>
      </c>
      <c r="T70" t="s">
        <v>198</v>
      </c>
      <c r="U70" t="s">
        <v>35</v>
      </c>
    </row>
    <row r="71" collapsed="0" hidden="0" customHeight="0" spans="1:1">
      <c r="A71" t="n">
        <v>1053</v>
      </c>
      <c r="B71" t="s">
        <v>351</v>
      </c>
      <c r="C71" t="s">
        <v>352</v>
      </c>
      <c r="D71" t="s">
        <v>353</v>
      </c>
      <c r="E71" t="s">
        <v>113</v>
      </c>
      <c r="F71" t="s">
        <v>354</v>
      </c>
      <c r="G71" t="s">
        <v>198</v>
      </c>
      <c r="J71" t="n" s="10">
        <v>56715.5</v>
      </c>
      <c r="K71" t="s">
        <v>33</v>
      </c>
      <c r="L71" t="s">
        <v>355</v>
      </c>
      <c r="M71" t="s">
        <v>33</v>
      </c>
      <c r="N71" t="s">
        <v>356</v>
      </c>
      <c r="O71" t="s" s="11">
        <v/>
      </c>
      <c r="P71" t="s" s="11">
        <v/>
      </c>
      <c r="Q71" t="s" s="11">
        <v/>
      </c>
      <c r="T71" t="s">
        <v>33</v>
      </c>
      <c r="U71" t="s">
        <v>35</v>
      </c>
    </row>
    <row r="72" collapsed="0" hidden="0" customHeight="0" spans="1:1">
      <c r="A72" t="n">
        <v>1055</v>
      </c>
      <c r="B72" t="s">
        <v>357</v>
      </c>
      <c r="C72" t="s">
        <v>358</v>
      </c>
      <c r="D72" t="s">
        <v>359</v>
      </c>
      <c r="E72" t="s">
        <v>31</v>
      </c>
      <c r="F72" t="s">
        <v>360</v>
      </c>
      <c r="G72" t="s">
        <v>198</v>
      </c>
      <c r="H72" t="s">
        <v>361</v>
      </c>
      <c r="J72" t="n" s="10">
        <v>88475</v>
      </c>
      <c r="K72" t="s">
        <v>198</v>
      </c>
      <c r="L72" t="s">
        <v>362</v>
      </c>
      <c r="M72" t="s">
        <v>198</v>
      </c>
      <c r="O72" t="s" s="11">
        <v/>
      </c>
      <c r="P72" t="s" s="11">
        <v/>
      </c>
      <c r="Q72" t="s" s="11">
        <v/>
      </c>
      <c r="T72" t="s">
        <v>198</v>
      </c>
      <c r="U72" t="s">
        <v>35</v>
      </c>
    </row>
    <row r="73" collapsed="0" hidden="0" customHeight="0" spans="1:1">
      <c r="A73" t="n">
        <v>1056</v>
      </c>
      <c r="B73" t="s">
        <v>363</v>
      </c>
      <c r="C73" t="s">
        <v>364</v>
      </c>
      <c r="D73" t="s">
        <v>365</v>
      </c>
      <c r="E73" t="s">
        <v>31</v>
      </c>
      <c r="F73" t="s">
        <v>212</v>
      </c>
      <c r="J73" t="n" s="10">
        <v>50375.25</v>
      </c>
      <c r="K73" t="s">
        <v>33</v>
      </c>
      <c r="L73" t="s">
        <v>307</v>
      </c>
      <c r="M73" t="s">
        <v>33</v>
      </c>
      <c r="O73" t="str" s="11">
        <f>HYPERLINK("https://cdn.contractorforeman.net/5652998/estimates/large/1471418_Hawthorne_Landscaping_Plans.pdf?token=XsvSpc5wCg7La1gfdKcgMIr1g84zqlvzruHR1fMxmfM&amp;expires=1790540074", "1471418_Hawthorne_Landscaping_Plans.pdf?token=XsvSpc5wCg7La1gfdKcgMIr1g84zqlvzruHR1fMxmfM&amp;expires=1790540074")</f>
      </c>
      <c r="P73" t="s" s="11">
        <v/>
      </c>
      <c r="Q73" t="s" s="11">
        <v/>
      </c>
      <c r="T73" t="s">
        <v>33</v>
      </c>
      <c r="U73" t="s">
        <v>35</v>
      </c>
    </row>
    <row r="74" collapsed="0" hidden="0" customHeight="0" spans="1:1">
      <c r="A74" t="n">
        <v>1057</v>
      </c>
      <c r="B74" t="s">
        <v>366</v>
      </c>
      <c r="C74" t="s">
        <v>367</v>
      </c>
      <c r="D74" t="s">
        <v>368</v>
      </c>
      <c r="E74" t="s">
        <v>81</v>
      </c>
      <c r="F74" t="s">
        <v>254</v>
      </c>
      <c r="H74" t="s">
        <v>369</v>
      </c>
      <c r="J74" t="n" s="10">
        <v>5960</v>
      </c>
      <c r="K74" t="s">
        <v>33</v>
      </c>
      <c r="L74" t="s">
        <v>370</v>
      </c>
      <c r="M74" t="s">
        <v>33</v>
      </c>
      <c r="O74" t="s" s="11">
        <v/>
      </c>
      <c r="P74" t="s" s="11">
        <v/>
      </c>
      <c r="Q74" t="s" s="11">
        <v/>
      </c>
      <c r="T74" t="s">
        <v>33</v>
      </c>
      <c r="U74" t="s">
        <v>35</v>
      </c>
    </row>
    <row r="75" collapsed="0" hidden="0" customHeight="0" spans="1:1">
      <c r="A75" t="n">
        <v>1058</v>
      </c>
      <c r="B75" t="s">
        <v>371</v>
      </c>
      <c r="C75" t="s">
        <v>372</v>
      </c>
      <c r="D75" t="s">
        <v>373</v>
      </c>
      <c r="E75" t="s">
        <v>81</v>
      </c>
      <c r="F75" t="s">
        <v>254</v>
      </c>
      <c r="J75" t="n" s="10">
        <v>23934.5</v>
      </c>
      <c r="K75" t="s">
        <v>33</v>
      </c>
      <c r="L75" t="s">
        <v>370</v>
      </c>
      <c r="M75" t="s">
        <v>33</v>
      </c>
      <c r="O75" t="s" s="11">
        <v/>
      </c>
      <c r="P75" t="s" s="11">
        <v/>
      </c>
      <c r="Q75" t="s" s="11">
        <v/>
      </c>
      <c r="T75" t="s">
        <v>33</v>
      </c>
      <c r="U75" t="s">
        <v>35</v>
      </c>
    </row>
    <row r="76" collapsed="0" hidden="0" customHeight="0" spans="1:1">
      <c r="A76" t="n">
        <v>1059</v>
      </c>
      <c r="B76" t="s">
        <v>374</v>
      </c>
      <c r="C76" t="s">
        <v>375</v>
      </c>
      <c r="D76" t="s">
        <v>53</v>
      </c>
      <c r="E76" t="s">
        <v>113</v>
      </c>
      <c r="F76" t="s">
        <v>376</v>
      </c>
      <c r="H76" t="s">
        <v>377</v>
      </c>
      <c r="I76" t="s">
        <v>101</v>
      </c>
      <c r="J76" t="n" s="10">
        <v>114738.5</v>
      </c>
      <c r="K76" t="s">
        <v>33</v>
      </c>
      <c r="L76" t="s">
        <v>378</v>
      </c>
      <c r="M76" t="s">
        <v>33</v>
      </c>
      <c r="N76" t="s">
        <v>379</v>
      </c>
      <c r="O76" t="s" s="11">
        <v/>
      </c>
      <c r="P76" t="s" s="11">
        <v/>
      </c>
      <c r="Q76" t="s" s="11">
        <v/>
      </c>
      <c r="T76" t="s">
        <v>33</v>
      </c>
      <c r="U76" t="s">
        <v>35</v>
      </c>
    </row>
    <row r="77" collapsed="0" hidden="0" customHeight="0" spans="1:1">
      <c r="A77" t="n">
        <v>1060</v>
      </c>
      <c r="B77" t="s">
        <v>380</v>
      </c>
      <c r="C77" t="s">
        <v>334</v>
      </c>
      <c r="D77" t="s">
        <v>95</v>
      </c>
      <c r="E77" t="s">
        <v>31</v>
      </c>
      <c r="F77" t="s">
        <v>376</v>
      </c>
      <c r="H77" t="s">
        <v>377</v>
      </c>
      <c r="I77" t="s">
        <v>101</v>
      </c>
      <c r="J77" t="n" s="10">
        <v>72492.5</v>
      </c>
      <c r="K77" t="s">
        <v>33</v>
      </c>
      <c r="L77" t="s">
        <v>332</v>
      </c>
      <c r="M77" t="s">
        <v>33</v>
      </c>
      <c r="O77" t="s" s="11">
        <v/>
      </c>
      <c r="P77" t="s" s="11">
        <v/>
      </c>
      <c r="Q77" t="s" s="11">
        <v/>
      </c>
      <c r="T77" t="s">
        <v>33</v>
      </c>
      <c r="U77" t="s">
        <v>35</v>
      </c>
    </row>
    <row r="78" collapsed="0" hidden="0" customHeight="0" spans="1:1">
      <c r="A78" t="n">
        <v>1061</v>
      </c>
      <c r="B78" t="s">
        <v>381</v>
      </c>
      <c r="C78" t="s">
        <v>382</v>
      </c>
      <c r="D78" t="s">
        <v>383</v>
      </c>
      <c r="E78" t="s">
        <v>31</v>
      </c>
      <c r="F78" t="s">
        <v>384</v>
      </c>
      <c r="G78" t="s">
        <v>100</v>
      </c>
      <c r="J78" t="n" s="10">
        <v>89413.5</v>
      </c>
      <c r="K78" t="s">
        <v>385</v>
      </c>
      <c r="L78" t="s">
        <v>386</v>
      </c>
      <c r="M78" t="s">
        <v>33</v>
      </c>
      <c r="O78" t="str" s="11">
        <f>HYPERLINK("https://cdn.contractorforeman.net/22823/6353466/estimates/large/dji_fly_20260706_113204_222_1783362775076_photo.jpg?token=Bv1QRmUYLH7eniE9M1JWxBcIdfoiECSkER6tjaEZzU8&amp;expires=1790540074", "dji_fly_20260706_113204_222_1783362775076_photo.jpg?token=Bv1QRmUYLH7eniE9M1JWxBcIdfoiECSkER6tjaEZzU8&amp;expires=1790540074")</f>
      </c>
      <c r="P78" t="str" s="11">
        <f>HYPERLINK("https://cdn.contractorforeman.net/22823/6353466/estimates/large/dji_fly_20260706_113156_221_1783362776584_photo.jpg?token=uGysnde3PqywG11j5qbGG-rZNelgnskaVnu80rIDp2s&amp;expires=1790540074", "dji_fly_20260706_113156_221_1783362776584_photo.jpg?token=uGysnde3PqywG11j5qbGG-rZNelgnskaVnu80rIDp2s&amp;expires=1790540074")</f>
      </c>
      <c r="Q78" t="str" s="11">
        <f>HYPERLINK("https://cdn.contractorforeman.net/22823/6353466/estimates/large/dji_fly_20260706_113148_220_1783362778159_photo.jpg?token=msHK_xO82clbP-C0Nqq3CIdss1aceXZN8zZ0FNEhYJk&amp;expires=1790540074", "dji_fly_20260706_113148_220_1783362778159_photo.jpg?token=msHK_xO82clbP-C0Nqq3CIdss1aceXZN8zZ0FNEhYJk&amp;expires=1790540074")</f>
      </c>
      <c r="T78" t="s">
        <v>385</v>
      </c>
      <c r="U78" t="s">
        <v>35</v>
      </c>
    </row>
    <row r="79" collapsed="0" hidden="0" customHeight="0" spans="1:1">
      <c r="A79" t="n">
        <v>1062</v>
      </c>
      <c r="B79" t="s">
        <v>387</v>
      </c>
      <c r="C79" t="s">
        <v>388</v>
      </c>
      <c r="D79" t="s">
        <v>6</v>
      </c>
      <c r="E79" t="s">
        <v>31</v>
      </c>
      <c r="F79" t="s">
        <v>389</v>
      </c>
      <c r="G79" t="s">
        <v>390</v>
      </c>
      <c r="J79" t="n" s="10">
        <v>21295</v>
      </c>
      <c r="K79" t="s">
        <v>385</v>
      </c>
      <c r="L79" t="s">
        <v>386</v>
      </c>
      <c r="M79" t="s">
        <v>385</v>
      </c>
      <c r="O79" t="s" s="11">
        <v/>
      </c>
      <c r="P79" t="s" s="11">
        <v/>
      </c>
      <c r="Q79" t="s" s="11">
        <v/>
      </c>
      <c r="T79" t="s">
        <v>385</v>
      </c>
      <c r="U79" t="s">
        <v>228</v>
      </c>
    </row>
    <row r="80" collapsed="0" hidden="0" customHeight="0" spans="1:1">
      <c r="A80" t="n">
        <v>1063</v>
      </c>
      <c r="B80" t="s">
        <v>391</v>
      </c>
      <c r="C80" t="s">
        <v>392</v>
      </c>
      <c r="D80" t="s">
        <v>393</v>
      </c>
      <c r="E80" t="s">
        <v>81</v>
      </c>
      <c r="F80" t="s">
        <v>48</v>
      </c>
      <c r="G80" t="s">
        <v>33</v>
      </c>
      <c r="J80" t="n" s="10">
        <v>127645.14</v>
      </c>
      <c r="K80" t="s">
        <v>33</v>
      </c>
      <c r="L80" t="s">
        <v>386</v>
      </c>
      <c r="M80" t="s">
        <v>33</v>
      </c>
      <c r="O80" t="s" s="11">
        <v/>
      </c>
      <c r="P80" t="s" s="11">
        <v/>
      </c>
      <c r="Q80" t="s" s="11">
        <v/>
      </c>
      <c r="T80" t="s">
        <v>33</v>
      </c>
      <c r="U80" t="s">
        <v>35</v>
      </c>
    </row>
    <row r="81" collapsed="0" hidden="0" customHeight="0" spans="1:1">
      <c r="A81" t="n">
        <v>1064</v>
      </c>
      <c r="B81" t="s">
        <v>394</v>
      </c>
      <c r="C81" t="s">
        <v>395</v>
      </c>
      <c r="D81" t="s">
        <v>396</v>
      </c>
      <c r="E81" t="s">
        <v>40</v>
      </c>
      <c r="F81" t="s">
        <v>376</v>
      </c>
      <c r="H81" t="s">
        <v>397</v>
      </c>
      <c r="J81" t="n" s="10">
        <v>75829.5</v>
      </c>
      <c r="K81" t="s">
        <v>33</v>
      </c>
      <c r="L81" t="s">
        <v>343</v>
      </c>
      <c r="M81" t="s">
        <v>33</v>
      </c>
      <c r="N81" t="s">
        <v>398</v>
      </c>
      <c r="O81" t="s" s="11">
        <v/>
      </c>
      <c r="P81" t="s" s="11">
        <v/>
      </c>
      <c r="Q81" t="s" s="11">
        <v/>
      </c>
      <c r="T81" t="s">
        <v>33</v>
      </c>
      <c r="U81" t="s">
        <v>228</v>
      </c>
    </row>
    <row r="82" collapsed="0" hidden="0" customHeight="0" spans="1:1">
      <c r="A82" t="n">
        <v>1065</v>
      </c>
      <c r="B82" t="s">
        <v>399</v>
      </c>
      <c r="C82" t="s">
        <v>400</v>
      </c>
      <c r="D82" t="s">
        <v>349</v>
      </c>
      <c r="E82" t="s">
        <v>81</v>
      </c>
      <c r="F82" t="s">
        <v>376</v>
      </c>
      <c r="H82" t="s">
        <v>377</v>
      </c>
      <c r="J82" t="n" s="10">
        <v>69951.5</v>
      </c>
      <c r="K82" t="s">
        <v>33</v>
      </c>
      <c r="L82" t="s">
        <v>343</v>
      </c>
      <c r="M82" t="s">
        <v>33</v>
      </c>
      <c r="N82" t="s">
        <v>356</v>
      </c>
      <c r="O82" t="s" s="11">
        <v/>
      </c>
      <c r="P82" t="s" s="11">
        <v/>
      </c>
      <c r="Q82" t="s" s="11">
        <v/>
      </c>
      <c r="S82" t="s">
        <v>401</v>
      </c>
      <c r="T82" t="s">
        <v>33</v>
      </c>
      <c r="U82" t="s">
        <v>35</v>
      </c>
    </row>
    <row r="83" collapsed="0" hidden="0" customHeight="0" spans="1:1">
      <c r="A83" t="n">
        <v>1066</v>
      </c>
      <c r="B83" t="s">
        <v>402</v>
      </c>
      <c r="C83" t="s">
        <v>403</v>
      </c>
      <c r="D83" t="s">
        <v>404</v>
      </c>
      <c r="E83" t="s">
        <v>81</v>
      </c>
      <c r="F83" t="s">
        <v>405</v>
      </c>
      <c r="G83" t="s">
        <v>33</v>
      </c>
      <c r="H83" t="s">
        <v>404</v>
      </c>
      <c r="J83" t="n" s="10">
        <v>60008</v>
      </c>
      <c r="K83" t="s">
        <v>33</v>
      </c>
      <c r="L83" t="s">
        <v>406</v>
      </c>
      <c r="M83" t="s">
        <v>33</v>
      </c>
      <c r="N83" t="s">
        <v>407</v>
      </c>
      <c r="O83" t="s" s="11">
        <v/>
      </c>
      <c r="P83" t="s" s="11">
        <v/>
      </c>
      <c r="Q83" t="s" s="11">
        <v/>
      </c>
      <c r="T83" t="s">
        <v>33</v>
      </c>
      <c r="U83" t="s">
        <v>35</v>
      </c>
    </row>
    <row r="84" collapsed="0" hidden="0" customHeight="0" spans="1:1">
      <c r="A84" t="n">
        <v>1067</v>
      </c>
      <c r="B84" t="s">
        <v>408</v>
      </c>
      <c r="C84" t="s">
        <v>409</v>
      </c>
      <c r="D84" t="s">
        <v>410</v>
      </c>
      <c r="E84" t="s">
        <v>81</v>
      </c>
      <c r="F84" t="s">
        <v>411</v>
      </c>
      <c r="H84" t="s">
        <v>410</v>
      </c>
      <c r="J84" t="n" s="10">
        <v>34288.25</v>
      </c>
      <c r="K84" t="s">
        <v>33</v>
      </c>
      <c r="L84" t="s">
        <v>412</v>
      </c>
      <c r="M84" t="s">
        <v>33</v>
      </c>
      <c r="N84" t="s">
        <v>413</v>
      </c>
      <c r="O84" t="s" s="11">
        <v/>
      </c>
      <c r="P84" t="s" s="11">
        <v/>
      </c>
      <c r="Q84" t="s" s="11">
        <v/>
      </c>
      <c r="T84" t="s">
        <v>33</v>
      </c>
      <c r="U84" t="s">
        <v>35</v>
      </c>
    </row>
    <row r="85" collapsed="0" hidden="0" customHeight="0" spans="1:1">
      <c r="A85" t="n">
        <v>1068</v>
      </c>
      <c r="B85" t="s">
        <v>414</v>
      </c>
      <c r="C85" t="s">
        <v>415</v>
      </c>
      <c r="D85" t="s">
        <v>416</v>
      </c>
      <c r="E85" t="s">
        <v>31</v>
      </c>
      <c r="F85" t="s">
        <v>417</v>
      </c>
      <c r="G85" t="s">
        <v>33</v>
      </c>
      <c r="H85" t="s">
        <v>418</v>
      </c>
      <c r="I85" t="s">
        <v>101</v>
      </c>
      <c r="J85" t="n" s="10">
        <v>40134.25</v>
      </c>
      <c r="K85" t="s">
        <v>33</v>
      </c>
      <c r="L85" t="s">
        <v>419</v>
      </c>
      <c r="M85" t="s">
        <v>33</v>
      </c>
      <c r="N85" t="s">
        <v>420</v>
      </c>
      <c r="O85" t="s" s="11">
        <v/>
      </c>
      <c r="P85" t="s" s="11">
        <v/>
      </c>
      <c r="Q85" t="s" s="11">
        <v/>
      </c>
      <c r="T85" t="s">
        <v>33</v>
      </c>
      <c r="U85" t="s">
        <v>35</v>
      </c>
    </row>
    <row r="86" collapsed="0" hidden="0" customHeight="0" spans="1:1">
      <c r="A86" t="n">
        <v>1069</v>
      </c>
      <c r="B86" t="s">
        <v>421</v>
      </c>
      <c r="C86" t="s">
        <v>422</v>
      </c>
      <c r="D86" t="s">
        <v>423</v>
      </c>
      <c r="E86" t="s">
        <v>81</v>
      </c>
      <c r="F86" t="s">
        <v>225</v>
      </c>
      <c r="H86" t="s">
        <v>424</v>
      </c>
      <c r="J86" t="n" s="10">
        <v>31060.9</v>
      </c>
      <c r="K86" t="s">
        <v>33</v>
      </c>
      <c r="L86" t="s">
        <v>425</v>
      </c>
      <c r="M86" t="s">
        <v>198</v>
      </c>
      <c r="O86" t="s" s="11">
        <v/>
      </c>
      <c r="P86" t="s" s="11">
        <v/>
      </c>
      <c r="Q86" t="s" s="11">
        <v/>
      </c>
      <c r="T86" t="s">
        <v>198</v>
      </c>
      <c r="U86" t="s">
        <v>35</v>
      </c>
    </row>
    <row r="87" collapsed="0" hidden="0" customHeight="0" spans="1:1">
      <c r="A87" t="n">
        <v>1070</v>
      </c>
      <c r="B87" t="s">
        <v>426</v>
      </c>
      <c r="C87" t="s">
        <v>415</v>
      </c>
      <c r="D87" t="s">
        <v>427</v>
      </c>
      <c r="E87" t="s">
        <v>31</v>
      </c>
      <c r="F87" t="s">
        <v>417</v>
      </c>
      <c r="G87" t="s">
        <v>33</v>
      </c>
      <c r="H87" t="s">
        <v>418</v>
      </c>
      <c r="I87" t="s">
        <v>101</v>
      </c>
      <c r="J87" t="n" s="10">
        <v>45751.25</v>
      </c>
      <c r="K87" t="s">
        <v>33</v>
      </c>
      <c r="L87" t="s">
        <v>428</v>
      </c>
      <c r="M87" t="s">
        <v>33</v>
      </c>
      <c r="O87" t="s" s="11">
        <v/>
      </c>
      <c r="P87" t="s" s="11">
        <v/>
      </c>
      <c r="Q87" t="s" s="11">
        <v/>
      </c>
      <c r="T87" t="s">
        <v>33</v>
      </c>
      <c r="U87" t="s">
        <v>35</v>
      </c>
    </row>
    <row r="88" collapsed="0" hidden="0" customHeight="0" spans="1:1">
      <c r="A88" t="n">
        <v>1071</v>
      </c>
      <c r="B88" t="s">
        <v>429</v>
      </c>
      <c r="C88" t="s">
        <v>375</v>
      </c>
      <c r="D88" t="s">
        <v>430</v>
      </c>
      <c r="E88" t="s">
        <v>31</v>
      </c>
      <c r="F88" t="s">
        <v>175</v>
      </c>
      <c r="H88" t="s">
        <v>300</v>
      </c>
      <c r="I88" t="s">
        <v>101</v>
      </c>
      <c r="J88" t="n" s="10">
        <v>241248</v>
      </c>
      <c r="K88" t="s">
        <v>33</v>
      </c>
      <c r="L88" t="s">
        <v>431</v>
      </c>
      <c r="M88" t="s">
        <v>33</v>
      </c>
      <c r="O88" t="s" s="11">
        <v/>
      </c>
      <c r="P88" t="s" s="11">
        <v/>
      </c>
      <c r="Q88" t="s" s="11">
        <v/>
      </c>
      <c r="T88" t="s">
        <v>33</v>
      </c>
      <c r="U88" t="s">
        <v>35</v>
      </c>
    </row>
    <row r="89" collapsed="0" hidden="0" customHeight="0" spans="1:1">
      <c r="A89" t="n">
        <v>1072</v>
      </c>
      <c r="B89" t="s">
        <v>432</v>
      </c>
      <c r="C89" t="s">
        <v>433</v>
      </c>
      <c r="D89" t="s">
        <v>434</v>
      </c>
      <c r="E89" t="s">
        <v>113</v>
      </c>
      <c r="F89" t="s">
        <v>435</v>
      </c>
      <c r="G89" t="s">
        <v>33</v>
      </c>
      <c r="J89" t="n" s="10">
        <v>8464.95</v>
      </c>
      <c r="K89" t="s">
        <v>33</v>
      </c>
      <c r="L89" t="s">
        <v>431</v>
      </c>
      <c r="M89" t="s">
        <v>33</v>
      </c>
      <c r="N89" t="s">
        <v>436</v>
      </c>
      <c r="O89" t="s" s="11">
        <v/>
      </c>
      <c r="P89" t="s" s="11">
        <v/>
      </c>
      <c r="Q89" t="s" s="11">
        <v/>
      </c>
      <c r="T89" t="s">
        <v>33</v>
      </c>
      <c r="U89" t="s">
        <v>35</v>
      </c>
    </row>
    <row r="90" collapsed="0" hidden="0" customHeight="0" spans="1:1">
      <c r="A90" t="n">
        <v>1073</v>
      </c>
      <c r="B90" t="s">
        <v>437</v>
      </c>
      <c r="C90" t="s">
        <v>437</v>
      </c>
      <c r="D90" t="s">
        <v>438</v>
      </c>
      <c r="E90" t="s">
        <v>31</v>
      </c>
      <c r="F90" t="s">
        <v>439</v>
      </c>
      <c r="G90" t="s">
        <v>33</v>
      </c>
      <c r="J90" t="n" s="10">
        <v>0</v>
      </c>
      <c r="K90" t="s">
        <v>33</v>
      </c>
      <c r="L90" t="s">
        <v>431</v>
      </c>
      <c r="M90" t="s">
        <v>33</v>
      </c>
      <c r="O90" t="s" s="11">
        <v/>
      </c>
      <c r="P90" t="s" s="11">
        <v/>
      </c>
      <c r="Q90" t="s" s="11">
        <v/>
      </c>
      <c r="T90" t="s">
        <v>33</v>
      </c>
      <c r="U90" t="s">
        <v>35</v>
      </c>
    </row>
    <row r="91" collapsed="0" hidden="0" customHeight="0" spans="1:1">
      <c r="A91" t="n">
        <v>1074</v>
      </c>
      <c r="B91" t="s">
        <v>440</v>
      </c>
      <c r="C91" t="s">
        <v>441</v>
      </c>
      <c r="D91" t="s">
        <v>442</v>
      </c>
      <c r="E91" t="s">
        <v>81</v>
      </c>
      <c r="F91" t="s">
        <v>443</v>
      </c>
      <c r="G91" t="s">
        <v>33</v>
      </c>
      <c r="H91" t="s">
        <v>442</v>
      </c>
      <c r="J91" t="n" s="10">
        <v>74530.25</v>
      </c>
      <c r="K91" t="s">
        <v>33</v>
      </c>
      <c r="L91" t="s">
        <v>444</v>
      </c>
      <c r="M91" t="s">
        <v>33</v>
      </c>
      <c r="N91" t="s">
        <v>445</v>
      </c>
      <c r="O91" t="str" s="11">
        <f>HYPERLINK("https://cdn.contractorforeman.net/22823/5652998/estimates/large/IMG_1785798601.png?token=fu41ZgtPOXMvqTd6wj3eGJNp7KSfIM9Qtlji__epV7c&amp;expires=1790540074", "IMG_1785798601.png?token=fu41ZgtPOXMvqTd6wj3eGJNp7KSfIM9Qtlji__epV7c&amp;expires=1790540074")</f>
      </c>
      <c r="P91" t="s" s="11">
        <v/>
      </c>
      <c r="Q91" t="s" s="11">
        <v/>
      </c>
      <c r="T91" t="s">
        <v>33</v>
      </c>
      <c r="U91" t="s">
        <v>35</v>
      </c>
    </row>
    <row r="92" collapsed="0" hidden="0" customHeight="0" spans="1:1">
      <c r="A92" t="n">
        <v>1075</v>
      </c>
      <c r="B92" t="s">
        <v>446</v>
      </c>
      <c r="C92" t="s">
        <v>415</v>
      </c>
      <c r="D92" t="s">
        <v>447</v>
      </c>
      <c r="E92" t="s">
        <v>40</v>
      </c>
      <c r="F92" t="s">
        <v>417</v>
      </c>
      <c r="G92" t="s">
        <v>33</v>
      </c>
      <c r="H92" t="s">
        <v>418</v>
      </c>
      <c r="I92" t="s">
        <v>101</v>
      </c>
      <c r="J92" t="n" s="10">
        <v>43501.25</v>
      </c>
      <c r="K92" t="s">
        <v>33</v>
      </c>
      <c r="L92" t="s">
        <v>448</v>
      </c>
      <c r="M92" t="s">
        <v>33</v>
      </c>
      <c r="N92" t="s">
        <v>445</v>
      </c>
      <c r="O92" t="s" s="11">
        <v/>
      </c>
      <c r="P92" t="s" s="11">
        <v/>
      </c>
      <c r="Q92" t="s" s="11">
        <v/>
      </c>
      <c r="T92" t="s">
        <v>33</v>
      </c>
      <c r="U92" t="s">
        <v>35</v>
      </c>
    </row>
    <row r="93" collapsed="0" hidden="0" customHeight="0" spans="1:1">
      <c r="A93" t="n">
        <v>1076</v>
      </c>
      <c r="B93" t="s">
        <v>449</v>
      </c>
      <c r="C93" t="s">
        <v>450</v>
      </c>
      <c r="D93" t="s">
        <v>451</v>
      </c>
      <c r="E93" t="s">
        <v>40</v>
      </c>
      <c r="F93" t="s">
        <v>417</v>
      </c>
      <c r="G93" t="s">
        <v>33</v>
      </c>
      <c r="H93" t="s">
        <v>418</v>
      </c>
      <c r="J93" t="n" s="10">
        <v>38621.25</v>
      </c>
      <c r="K93" t="s">
        <v>33</v>
      </c>
      <c r="L93" t="s">
        <v>448</v>
      </c>
      <c r="M93" t="s">
        <v>33</v>
      </c>
      <c r="N93" t="s">
        <v>445</v>
      </c>
      <c r="O93" t="s" s="11">
        <v/>
      </c>
      <c r="P93" t="s" s="11">
        <v/>
      </c>
      <c r="Q93" t="s" s="11">
        <v/>
      </c>
      <c r="T93" t="s">
        <v>33</v>
      </c>
      <c r="U93" t="s">
        <v>35</v>
      </c>
    </row>
    <row r="94" collapsed="0" hidden="0" customHeight="0" spans="1:1">
      <c r="A94" t="n">
        <v>1077</v>
      </c>
      <c r="B94" t="s">
        <v>452</v>
      </c>
      <c r="C94" t="s">
        <v>453</v>
      </c>
      <c r="D94" t="s">
        <v>454</v>
      </c>
      <c r="E94" t="s">
        <v>81</v>
      </c>
      <c r="F94" t="s">
        <v>455</v>
      </c>
      <c r="G94" t="s">
        <v>33</v>
      </c>
      <c r="H94" t="s">
        <v>454</v>
      </c>
      <c r="J94" t="n" s="10">
        <v>15500</v>
      </c>
      <c r="K94" t="s">
        <v>33</v>
      </c>
      <c r="L94" t="s">
        <v>456</v>
      </c>
      <c r="M94" t="s">
        <v>33</v>
      </c>
      <c r="N94" t="s">
        <v>457</v>
      </c>
      <c r="O94" t="s" s="11">
        <v/>
      </c>
      <c r="P94" t="s" s="11">
        <v/>
      </c>
      <c r="Q94" t="s" s="11">
        <v/>
      </c>
      <c r="T94" t="s">
        <v>33</v>
      </c>
      <c r="U94" t="s">
        <v>35</v>
      </c>
    </row>
    <row r="95" collapsed="0" hidden="0" customHeight="0" spans="1:1">
      <c r="A95" t="n">
        <v>1078</v>
      </c>
      <c r="B95" t="s">
        <v>458</v>
      </c>
      <c r="C95" t="s">
        <v>459</v>
      </c>
      <c r="D95" t="s">
        <v>460</v>
      </c>
      <c r="E95" t="s">
        <v>31</v>
      </c>
      <c r="F95" t="s">
        <v>461</v>
      </c>
      <c r="G95" t="s">
        <v>33</v>
      </c>
      <c r="J95" t="n" s="10">
        <v>63628.5</v>
      </c>
      <c r="K95" t="s">
        <v>33</v>
      </c>
      <c r="L95" t="s">
        <v>456</v>
      </c>
      <c r="M95" t="s">
        <v>33</v>
      </c>
      <c r="O95" t="s" s="11">
        <v/>
      </c>
      <c r="P95" t="s" s="11">
        <v/>
      </c>
      <c r="Q95" t="s" s="11">
        <v/>
      </c>
      <c r="T95" t="s">
        <v>33</v>
      </c>
      <c r="U95" t="s">
        <v>35</v>
      </c>
    </row>
    <row r="96" collapsed="0" hidden="0" customHeight="0" spans="1:1">
      <c r="A96" t="n">
        <v>1079</v>
      </c>
      <c r="B96" t="s">
        <v>462</v>
      </c>
      <c r="C96" t="s">
        <v>463</v>
      </c>
      <c r="D96" t="s">
        <v>464</v>
      </c>
      <c r="E96" t="s">
        <v>40</v>
      </c>
      <c r="F96" t="s">
        <v>443</v>
      </c>
      <c r="G96" t="s">
        <v>33</v>
      </c>
      <c r="H96" t="s">
        <v>442</v>
      </c>
      <c r="J96" t="n" s="10">
        <v>83362.45</v>
      </c>
      <c r="K96" t="s">
        <v>33</v>
      </c>
      <c r="L96" t="s">
        <v>465</v>
      </c>
      <c r="M96" t="s">
        <v>33</v>
      </c>
      <c r="N96" t="s">
        <v>466</v>
      </c>
      <c r="O96" t="str" s="11">
        <f>HYPERLINK("https://cdn.contractorforeman.net/5652998/estimates/large/1516018_IMG_1785798601.png?token=RSQgURacGBY0DrIb5K_RqPpRhhssDghii-NH8k2RD7k&amp;expires=1790540074", "1516018_IMG_1785798601.png?token=RSQgURacGBY0DrIb5K_RqPpRhhssDghii-NH8k2RD7k&amp;expires=1790540074")</f>
      </c>
      <c r="P96" t="s" s="11">
        <v/>
      </c>
      <c r="Q96" t="s" s="11">
        <v/>
      </c>
      <c r="T96" t="s">
        <v>33</v>
      </c>
      <c r="U96" t="s">
        <v>35</v>
      </c>
    </row>
    <row r="97" collapsed="0" hidden="0" customHeight="0" spans="1:1">
      <c r="A97" t="n">
        <v>1080</v>
      </c>
      <c r="B97" t="s">
        <v>467</v>
      </c>
      <c r="C97" t="s">
        <v>468</v>
      </c>
      <c r="D97" t="s">
        <v>469</v>
      </c>
      <c r="E97" t="s">
        <v>31</v>
      </c>
      <c r="F97" t="s">
        <v>376</v>
      </c>
      <c r="H97" t="s">
        <v>377</v>
      </c>
      <c r="J97" t="n" s="10">
        <v>75774.6</v>
      </c>
      <c r="K97" t="s">
        <v>33</v>
      </c>
      <c r="L97" t="s">
        <v>470</v>
      </c>
      <c r="M97" t="s">
        <v>33</v>
      </c>
      <c r="O97" t="s" s="11">
        <v/>
      </c>
      <c r="P97" t="s" s="11">
        <v/>
      </c>
      <c r="Q97" t="s" s="11">
        <v/>
      </c>
      <c r="T97" t="s">
        <v>33</v>
      </c>
      <c r="U97" t="s">
        <v>35</v>
      </c>
    </row>
    <row r="98" collapsed="0" hidden="0" customHeight="0" spans="1:1">
      <c r="A98" t="n">
        <v>1081</v>
      </c>
      <c r="B98" t="s">
        <v>471</v>
      </c>
      <c r="C98" t="s">
        <v>472</v>
      </c>
      <c r="D98" t="s">
        <v>438</v>
      </c>
      <c r="E98" t="s">
        <v>40</v>
      </c>
      <c r="F98" t="s">
        <v>439</v>
      </c>
      <c r="G98" t="s">
        <v>33</v>
      </c>
      <c r="J98" t="n" s="10">
        <v>48055.25</v>
      </c>
      <c r="K98" t="s">
        <v>33</v>
      </c>
      <c r="L98" t="s">
        <v>356</v>
      </c>
      <c r="M98" t="s">
        <v>33</v>
      </c>
      <c r="N98" t="s">
        <v>466</v>
      </c>
      <c r="O98" t="s" s="11">
        <v/>
      </c>
      <c r="P98" t="s" s="11">
        <v/>
      </c>
      <c r="Q98" t="s" s="11">
        <v/>
      </c>
      <c r="T98" t="s">
        <v>33</v>
      </c>
      <c r="U98" t="s">
        <v>35</v>
      </c>
    </row>
    <row r="99" collapsed="0" hidden="0" customHeight="0" spans="1:1">
      <c r="A99" t="n">
        <v>1082</v>
      </c>
      <c r="B99" t="s">
        <v>473</v>
      </c>
      <c r="C99" t="s">
        <v>474</v>
      </c>
      <c r="D99" t="s">
        <v>475</v>
      </c>
      <c r="E99" t="s">
        <v>40</v>
      </c>
      <c r="F99" t="s">
        <v>476</v>
      </c>
      <c r="G99" t="s">
        <v>33</v>
      </c>
      <c r="J99" t="n" s="10">
        <v>90455</v>
      </c>
      <c r="K99" t="s">
        <v>33</v>
      </c>
      <c r="L99" t="s">
        <v>407</v>
      </c>
      <c r="M99" t="s">
        <v>33</v>
      </c>
      <c r="N99" t="s">
        <v>477</v>
      </c>
      <c r="O99" t="s" s="11">
        <v/>
      </c>
      <c r="P99" t="s" s="11">
        <v/>
      </c>
      <c r="Q99" t="s" s="11">
        <v/>
      </c>
      <c r="T99" t="s">
        <v>33</v>
      </c>
      <c r="U99" t="s">
        <v>35</v>
      </c>
    </row>
    <row r="100" collapsed="0" hidden="0" customHeight="0" spans="1:1">
      <c r="A100" t="n">
        <v>1083</v>
      </c>
      <c r="B100" t="s">
        <v>478</v>
      </c>
      <c r="C100" t="s">
        <v>479</v>
      </c>
      <c r="D100" t="s">
        <v>480</v>
      </c>
      <c r="E100" t="s">
        <v>31</v>
      </c>
      <c r="F100" t="s">
        <v>481</v>
      </c>
      <c r="G100" t="s">
        <v>482</v>
      </c>
      <c r="I100" t="s">
        <v>483</v>
      </c>
      <c r="J100" t="n" s="10">
        <v>397380.7</v>
      </c>
      <c r="K100" t="s">
        <v>33</v>
      </c>
      <c r="L100" t="s">
        <v>484</v>
      </c>
      <c r="M100" t="s">
        <v>33</v>
      </c>
      <c r="O100" t="s" s="11">
        <v/>
      </c>
      <c r="P100" t="s" s="11">
        <v/>
      </c>
      <c r="Q100" t="s" s="11">
        <v/>
      </c>
      <c r="T100" t="s">
        <v>33</v>
      </c>
      <c r="U100" t="s">
        <v>35</v>
      </c>
    </row>
    <row r="101" collapsed="0" hidden="0" customHeight="0" spans="1:1">
      <c r="A101" t="n">
        <v>1084</v>
      </c>
      <c r="B101" t="s">
        <v>485</v>
      </c>
      <c r="C101" t="s">
        <v>486</v>
      </c>
      <c r="D101" t="s">
        <v>487</v>
      </c>
      <c r="E101" t="s">
        <v>40</v>
      </c>
      <c r="F101" t="s">
        <v>488</v>
      </c>
      <c r="G101" t="s">
        <v>33</v>
      </c>
      <c r="J101" t="n" s="10">
        <v>27000</v>
      </c>
      <c r="K101" t="s">
        <v>33</v>
      </c>
      <c r="L101" t="s">
        <v>489</v>
      </c>
      <c r="M101" t="s">
        <v>33</v>
      </c>
      <c r="N101" t="s">
        <v>490</v>
      </c>
      <c r="O101" t="s" s="11">
        <v/>
      </c>
      <c r="P101" t="s" s="11">
        <v/>
      </c>
      <c r="Q101" t="s" s="11">
        <v/>
      </c>
      <c r="T101" t="s">
        <v>33</v>
      </c>
      <c r="U101" t="s">
        <v>35</v>
      </c>
    </row>
    <row r="102" collapsed="0" hidden="0" customHeight="0" spans="1:1">
      <c r="A102" t="n">
        <v>1085</v>
      </c>
      <c r="B102" t="s">
        <v>491</v>
      </c>
      <c r="C102" t="s">
        <v>492</v>
      </c>
      <c r="D102" t="s">
        <v>493</v>
      </c>
      <c r="E102" t="s">
        <v>31</v>
      </c>
      <c r="F102" t="s">
        <v>494</v>
      </c>
      <c r="G102" t="s">
        <v>33</v>
      </c>
      <c r="J102" t="n" s="10">
        <v>40246.55</v>
      </c>
      <c r="K102" t="s">
        <v>33</v>
      </c>
      <c r="L102" t="s">
        <v>495</v>
      </c>
      <c r="M102" t="s">
        <v>33</v>
      </c>
      <c r="O102" t="s" s="11">
        <v/>
      </c>
      <c r="P102" t="s" s="11">
        <v/>
      </c>
      <c r="Q102" t="s" s="11">
        <v/>
      </c>
      <c r="T102" t="s">
        <v>33</v>
      </c>
      <c r="U102" t="s">
        <v>35</v>
      </c>
    </row>
    <row r="103" collapsed="0" hidden="0" customHeight="0" spans="1:1">
      <c r="A103" t="n">
        <v>1086</v>
      </c>
      <c r="B103" t="s">
        <v>496</v>
      </c>
      <c r="C103" t="s">
        <v>497</v>
      </c>
      <c r="D103" t="s">
        <v>498</v>
      </c>
      <c r="E103" t="s">
        <v>40</v>
      </c>
      <c r="F103" t="s">
        <v>499</v>
      </c>
      <c r="G103" t="s">
        <v>100</v>
      </c>
      <c r="J103" t="n" s="10">
        <v>110699.4</v>
      </c>
      <c r="K103" t="s">
        <v>33</v>
      </c>
      <c r="L103" t="s">
        <v>495</v>
      </c>
      <c r="M103" t="s">
        <v>33</v>
      </c>
      <c r="N103" t="s">
        <v>500</v>
      </c>
      <c r="O103" t="s" s="11">
        <v/>
      </c>
      <c r="P103" t="s" s="11">
        <v/>
      </c>
      <c r="Q103" t="s" s="11">
        <v/>
      </c>
      <c r="T103" t="s">
        <v>33</v>
      </c>
      <c r="U103" t="s">
        <v>35</v>
      </c>
    </row>
    <row r="104" collapsed="0" hidden="0" customHeight="0" spans="1:1">
      <c r="A104" t="n">
        <v>1087</v>
      </c>
      <c r="B104" t="s">
        <v>501</v>
      </c>
      <c r="C104" t="s">
        <v>502</v>
      </c>
      <c r="D104" t="s">
        <v>503</v>
      </c>
      <c r="E104" t="s">
        <v>31</v>
      </c>
      <c r="F104" t="s">
        <v>494</v>
      </c>
      <c r="G104" t="s">
        <v>33</v>
      </c>
      <c r="J104" t="n" s="10">
        <v>50112.3</v>
      </c>
      <c r="K104" t="s">
        <v>33</v>
      </c>
      <c r="L104" t="s">
        <v>504</v>
      </c>
      <c r="M104" t="s">
        <v>33</v>
      </c>
      <c r="O104" t="s" s="11">
        <v/>
      </c>
      <c r="P104" t="s" s="11">
        <v/>
      </c>
      <c r="Q104" t="s" s="11">
        <v/>
      </c>
      <c r="T104" t="s">
        <v>33</v>
      </c>
      <c r="U104" t="s">
        <v>35</v>
      </c>
    </row>
    <row r="105" collapsed="0" hidden="0" customHeight="0" spans="1:1">
      <c r="A105" t="n">
        <v>1088</v>
      </c>
      <c r="B105" t="s">
        <v>505</v>
      </c>
      <c r="C105" t="s">
        <v>506</v>
      </c>
      <c r="D105" t="s">
        <v>507</v>
      </c>
      <c r="E105" t="s">
        <v>31</v>
      </c>
      <c r="F105" t="s">
        <v>508</v>
      </c>
      <c r="G105" t="s">
        <v>33</v>
      </c>
      <c r="J105" t="n" s="10">
        <v>18697</v>
      </c>
      <c r="K105" t="s">
        <v>33</v>
      </c>
      <c r="L105" t="s">
        <v>509</v>
      </c>
      <c r="M105" t="s">
        <v>33</v>
      </c>
      <c r="O105" t="s" s="11">
        <v/>
      </c>
      <c r="P105" t="s" s="11">
        <v/>
      </c>
      <c r="Q105" t="s" s="11">
        <v/>
      </c>
      <c r="T105" t="s">
        <v>33</v>
      </c>
      <c r="U105" t="s">
        <v>35</v>
      </c>
    </row>
    <row r="106" collapsed="0" hidden="0" customHeight="0" spans="1:1">
      <c r="A106" t="s" s="12">
        <v/>
      </c>
      <c r="B106" t="s" s="12">
        <v/>
      </c>
      <c r="C106" t="s" s="12">
        <v/>
      </c>
      <c r="D106" t="s" s="12">
        <v/>
      </c>
      <c r="E106" t="s" s="12">
        <v/>
      </c>
      <c r="F106" t="s" s="12">
        <v/>
      </c>
      <c r="G106" t="s" s="12">
        <v/>
      </c>
      <c r="H106" t="s" s="12">
        <v/>
      </c>
      <c r="I106" t="s" s="12">
        <v/>
      </c>
      <c r="J106" t="n" s="13">
        <v>15973016.159999998</v>
      </c>
      <c r="K106" t="s" s="12">
        <v/>
      </c>
      <c r="L106" t="s" s="12">
        <v/>
      </c>
      <c r="M106" t="s" s="12">
        <v/>
      </c>
      <c r="N106" t="s" s="12">
        <v/>
      </c>
      <c r="O106" t="s" s="14">
        <v/>
      </c>
      <c r="P106" t="s" s="14">
        <v/>
      </c>
      <c r="Q106" t="s" s="14">
        <v/>
      </c>
      <c r="R106" t="s" s="12">
        <v/>
      </c>
      <c r="S106" t="s" s="12">
        <v/>
      </c>
      <c r="T106" t="s" s="12">
        <v/>
      </c>
      <c r="U106" t="s" s="12">
        <v/>
      </c>
      <c r="V106" t="s" s="12">
        <v/>
      </c>
      <c r="W106" t="s" s="12">
        <v/>
      </c>
      <c r="X106" t="s" s="12">
        <v/>
      </c>
      <c r="Y106" t="s" s="12">
        <v/>
      </c>
    </row>
  </sheetData>
  <mergeCells count="3">
    <mergeCell ref="F2:I2"/>
    <mergeCell ref="F3:I3"/>
    <mergeCell ref="A4:C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2026-08-27T20:14:37.338Z</dcterms:created>
  <dcterms:modified xsi:type="dcterms:W3CDTF">2026-08-27T20:14:37.338Z</dcterms:modified>
</cp:coreProperties>
</file>